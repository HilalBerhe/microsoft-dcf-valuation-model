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792CDB2D-2D79-4C42-9179-A3A9FB32422C}" xr6:coauthVersionLast="47" xr6:coauthVersionMax="47" xr10:uidLastSave="{00000000-0000-0000-0000-000000000000}"/>
  <bookViews>
    <workbookView xWindow="-108" yWindow="-108" windowWidth="23256" windowHeight="13896" tabRatio="685" xr2:uid="{00000000-000D-0000-FFFF-FFFF00000000}"/>
  </bookViews>
  <sheets>
    <sheet name="Cover Page" sheetId="27" r:id="rId1"/>
    <sheet name="DCF Model" sheetId="25" r:id="rId2"/>
    <sheet name=" 3-Statement Model" sheetId="28" r:id="rId3"/>
  </sheets>
  <definedNames>
    <definedName name="_xlchart.v1.0" hidden="1">'DCF Model'!$L$35:$L$37</definedName>
    <definedName name="_xlchart.v1.1" hidden="1">'DCF Model'!$N$35:$N$37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calcMode="autoNoTable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25" l="1"/>
  <c r="I27" i="25"/>
  <c r="D27" i="25"/>
  <c r="N22" i="25"/>
  <c r="N20" i="25"/>
  <c r="N21" i="25" s="1"/>
  <c r="F27" i="25"/>
  <c r="G27" i="25"/>
  <c r="H27" i="25"/>
  <c r="E27" i="25"/>
  <c r="I32" i="25"/>
  <c r="I31" i="25"/>
  <c r="D26" i="25"/>
  <c r="I25" i="25"/>
  <c r="F25" i="25"/>
  <c r="G25" i="25"/>
  <c r="H25" i="25"/>
  <c r="E25" i="25"/>
  <c r="F24" i="25"/>
  <c r="G24" i="25"/>
  <c r="H24" i="25"/>
  <c r="I24" i="25"/>
  <c r="E24" i="25"/>
  <c r="F23" i="25"/>
  <c r="G23" i="25"/>
  <c r="H23" i="25"/>
  <c r="I23" i="25"/>
  <c r="E23" i="25"/>
  <c r="F22" i="25"/>
  <c r="G22" i="25"/>
  <c r="H22" i="25"/>
  <c r="I22" i="25"/>
  <c r="E22" i="25"/>
  <c r="I21" i="25"/>
  <c r="H21" i="25"/>
  <c r="F21" i="25"/>
  <c r="G21" i="25"/>
  <c r="E21" i="25"/>
  <c r="D6" i="25"/>
  <c r="I20" i="25"/>
  <c r="F20" i="25"/>
  <c r="G20" i="25"/>
  <c r="H20" i="25"/>
  <c r="E20" i="25"/>
  <c r="I19" i="25"/>
  <c r="H19" i="25"/>
  <c r="G19" i="25"/>
  <c r="F19" i="25"/>
  <c r="E19" i="25"/>
  <c r="D16" i="25"/>
  <c r="D15" i="25"/>
  <c r="D14" i="25"/>
  <c r="E18" i="25"/>
  <c r="F18" i="25" s="1"/>
  <c r="G18" i="25" s="1"/>
  <c r="H18" i="25" s="1"/>
  <c r="I18" i="25" s="1"/>
  <c r="E2" i="28"/>
  <c r="F2" i="28"/>
  <c r="G2" i="28" s="1"/>
  <c r="H2" i="28" s="1"/>
  <c r="I2" i="28" s="1"/>
  <c r="J2" i="28" s="1"/>
  <c r="K2" i="28" s="1"/>
  <c r="L2" i="28" s="1"/>
  <c r="M2" i="28" s="1"/>
  <c r="H114" i="28"/>
  <c r="H111" i="28"/>
  <c r="G111" i="28"/>
  <c r="F111" i="28"/>
  <c r="E111" i="28"/>
  <c r="H110" i="28"/>
  <c r="G110" i="28"/>
  <c r="F110" i="28"/>
  <c r="E110" i="28"/>
  <c r="H103" i="28"/>
  <c r="G103" i="28"/>
  <c r="H101" i="28" s="1"/>
  <c r="F103" i="28"/>
  <c r="E103" i="28"/>
  <c r="I101" i="28"/>
  <c r="G101" i="28"/>
  <c r="F101" i="28"/>
  <c r="H98" i="28"/>
  <c r="I95" i="28" s="1"/>
  <c r="G98" i="28"/>
  <c r="H95" i="28" s="1"/>
  <c r="F98" i="28"/>
  <c r="G95" i="28" s="1"/>
  <c r="E98" i="28"/>
  <c r="F95" i="28" s="1"/>
  <c r="H97" i="28"/>
  <c r="G97" i="28"/>
  <c r="F97" i="28"/>
  <c r="E97" i="28"/>
  <c r="H96" i="28"/>
  <c r="F96" i="28"/>
  <c r="E96" i="28"/>
  <c r="H90" i="28"/>
  <c r="G90" i="28"/>
  <c r="F90" i="28"/>
  <c r="E90" i="28"/>
  <c r="E91" i="28" s="1"/>
  <c r="H89" i="28"/>
  <c r="H91" i="28" s="1"/>
  <c r="G89" i="28"/>
  <c r="G91" i="28" s="1"/>
  <c r="F89" i="28"/>
  <c r="E89" i="28"/>
  <c r="H88" i="28"/>
  <c r="G88" i="28"/>
  <c r="F88" i="28"/>
  <c r="F91" i="28" s="1"/>
  <c r="E88" i="28"/>
  <c r="H81" i="28"/>
  <c r="I80" i="28" s="1"/>
  <c r="G81" i="28"/>
  <c r="H80" i="28" s="1"/>
  <c r="F81" i="28"/>
  <c r="G80" i="28" s="1"/>
  <c r="E81" i="28"/>
  <c r="F80" i="28" s="1"/>
  <c r="H76" i="28"/>
  <c r="H20" i="28" s="1"/>
  <c r="G76" i="28"/>
  <c r="G20" i="28" s="1"/>
  <c r="F76" i="28"/>
  <c r="F20" i="28" s="1"/>
  <c r="E76" i="28"/>
  <c r="E20" i="28" s="1"/>
  <c r="H75" i="28"/>
  <c r="H102" i="28" s="1"/>
  <c r="G75" i="28"/>
  <c r="G77" i="28" s="1"/>
  <c r="G115" i="28" s="1"/>
  <c r="F75" i="28"/>
  <c r="E75" i="28"/>
  <c r="E19" i="28" s="1"/>
  <c r="H72" i="28"/>
  <c r="F72" i="28"/>
  <c r="F114" i="28" s="1"/>
  <c r="E72" i="28"/>
  <c r="E114" i="28" s="1"/>
  <c r="G71" i="28"/>
  <c r="G96" i="28" s="1"/>
  <c r="H68" i="28"/>
  <c r="H113" i="28" s="1"/>
  <c r="G67" i="28"/>
  <c r="G68" i="28" s="1"/>
  <c r="G113" i="28" s="1"/>
  <c r="F67" i="28"/>
  <c r="F68" i="28" s="1"/>
  <c r="F113" i="28" s="1"/>
  <c r="E67" i="28"/>
  <c r="E68" i="28" s="1"/>
  <c r="E113" i="28" s="1"/>
  <c r="E57" i="28"/>
  <c r="H56" i="28"/>
  <c r="H57" i="28" s="1"/>
  <c r="G56" i="28"/>
  <c r="G57" i="28" s="1"/>
  <c r="F56" i="28"/>
  <c r="E56" i="28"/>
  <c r="H52" i="28"/>
  <c r="G52" i="28"/>
  <c r="F52" i="28"/>
  <c r="E52" i="28"/>
  <c r="H47" i="28"/>
  <c r="G47" i="28"/>
  <c r="F47" i="28"/>
  <c r="E47" i="28"/>
  <c r="H33" i="28"/>
  <c r="H34" i="28" s="1"/>
  <c r="H37" i="28" s="1"/>
  <c r="G33" i="28"/>
  <c r="G34" i="28" s="1"/>
  <c r="G37" i="28" s="1"/>
  <c r="F33" i="28"/>
  <c r="F34" i="28" s="1"/>
  <c r="F14" i="28" s="1"/>
  <c r="E33" i="28"/>
  <c r="E34" i="28" s="1"/>
  <c r="I21" i="28"/>
  <c r="F19" i="28"/>
  <c r="H18" i="28"/>
  <c r="F18" i="28"/>
  <c r="E18" i="28"/>
  <c r="H17" i="28"/>
  <c r="G17" i="28"/>
  <c r="F17" i="28"/>
  <c r="E17" i="28"/>
  <c r="K17" i="28" s="1"/>
  <c r="H16" i="28"/>
  <c r="G16" i="28"/>
  <c r="F16" i="28"/>
  <c r="E16" i="28"/>
  <c r="H15" i="28"/>
  <c r="G15" i="28"/>
  <c r="F15" i="28"/>
  <c r="E15" i="28"/>
  <c r="L15" i="28" s="1"/>
  <c r="I13" i="28"/>
  <c r="J13" i="28" s="1"/>
  <c r="K13" i="28" s="1"/>
  <c r="L13" i="28" s="1"/>
  <c r="M13" i="28" s="1"/>
  <c r="H12" i="28"/>
  <c r="G12" i="28"/>
  <c r="F12" i="28"/>
  <c r="E12" i="28"/>
  <c r="I11" i="28"/>
  <c r="J11" i="28" s="1"/>
  <c r="K11" i="28" s="1"/>
  <c r="L11" i="28" s="1"/>
  <c r="M11" i="28" s="1"/>
  <c r="H10" i="28"/>
  <c r="G10" i="28"/>
  <c r="F10" i="28"/>
  <c r="E10" i="28"/>
  <c r="H9" i="28"/>
  <c r="G9" i="28"/>
  <c r="F9" i="28"/>
  <c r="E9" i="28"/>
  <c r="H8" i="28"/>
  <c r="G8" i="28"/>
  <c r="F8" i="28"/>
  <c r="J19" i="25" l="1"/>
  <c r="E14" i="28"/>
  <c r="E37" i="28"/>
  <c r="I15" i="28"/>
  <c r="L17" i="28"/>
  <c r="E77" i="28"/>
  <c r="E115" i="28" s="1"/>
  <c r="I9" i="28"/>
  <c r="M17" i="28"/>
  <c r="J15" i="28"/>
  <c r="E102" i="28"/>
  <c r="M20" i="28"/>
  <c r="M76" i="28" s="1"/>
  <c r="M15" i="28"/>
  <c r="G19" i="28"/>
  <c r="I19" i="28" s="1"/>
  <c r="F57" i="28"/>
  <c r="H92" i="28"/>
  <c r="I17" i="28"/>
  <c r="J17" i="28"/>
  <c r="K15" i="28"/>
  <c r="H19" i="28"/>
  <c r="G92" i="28"/>
  <c r="F77" i="28"/>
  <c r="F115" i="28" s="1"/>
  <c r="J21" i="28"/>
  <c r="I18" i="28"/>
  <c r="I71" i="28" s="1"/>
  <c r="J9" i="28"/>
  <c r="K9" i="28"/>
  <c r="L9" i="28"/>
  <c r="M16" i="28"/>
  <c r="I16" i="28"/>
  <c r="L16" i="28"/>
  <c r="K16" i="28"/>
  <c r="J16" i="28"/>
  <c r="M9" i="28"/>
  <c r="M10" i="28"/>
  <c r="L10" i="28"/>
  <c r="K10" i="28"/>
  <c r="J10" i="28"/>
  <c r="I10" i="28"/>
  <c r="G79" i="28"/>
  <c r="K21" i="28"/>
  <c r="L21" i="28"/>
  <c r="M12" i="28"/>
  <c r="I12" i="28"/>
  <c r="I97" i="28" s="1"/>
  <c r="I66" i="28" s="1"/>
  <c r="L12" i="28"/>
  <c r="K12" i="28"/>
  <c r="J12" i="28"/>
  <c r="F37" i="28"/>
  <c r="H77" i="28"/>
  <c r="F102" i="28"/>
  <c r="G14" i="28"/>
  <c r="J19" i="28"/>
  <c r="J102" i="28" s="1"/>
  <c r="J75" i="28" s="1"/>
  <c r="J77" i="28" s="1"/>
  <c r="H14" i="28"/>
  <c r="F92" i="28"/>
  <c r="I8" i="28"/>
  <c r="M8" i="28"/>
  <c r="L8" i="28"/>
  <c r="K8" i="28"/>
  <c r="J8" i="28"/>
  <c r="L20" i="28"/>
  <c r="L76" i="28" s="1"/>
  <c r="G72" i="28"/>
  <c r="G114" i="28" s="1"/>
  <c r="G18" i="28"/>
  <c r="L18" i="28" s="1"/>
  <c r="L71" i="28" s="1"/>
  <c r="G102" i="28"/>
  <c r="J20" i="28"/>
  <c r="J76" i="28" s="1"/>
  <c r="I20" i="28"/>
  <c r="K20" i="28"/>
  <c r="K76" i="28" s="1"/>
  <c r="M14" i="28" l="1"/>
  <c r="E79" i="28"/>
  <c r="L19" i="28"/>
  <c r="L102" i="28" s="1"/>
  <c r="L75" i="28" s="1"/>
  <c r="L77" i="28" s="1"/>
  <c r="M21" i="28"/>
  <c r="K19" i="28"/>
  <c r="K102" i="28" s="1"/>
  <c r="K75" i="28" s="1"/>
  <c r="F79" i="28"/>
  <c r="M19" i="28"/>
  <c r="M102" i="28" s="1"/>
  <c r="M75" i="28" s="1"/>
  <c r="M77" i="28" s="1"/>
  <c r="L96" i="28"/>
  <c r="L72" i="28"/>
  <c r="L114" i="28" s="1"/>
  <c r="I54" i="28"/>
  <c r="I76" i="28"/>
  <c r="I72" i="28"/>
  <c r="I114" i="28" s="1"/>
  <c r="I96" i="28"/>
  <c r="I98" i="28" s="1"/>
  <c r="K14" i="28"/>
  <c r="I14" i="28"/>
  <c r="H115" i="28"/>
  <c r="H79" i="28"/>
  <c r="I102" i="28"/>
  <c r="I51" i="28"/>
  <c r="J51" i="28" s="1"/>
  <c r="J14" i="28"/>
  <c r="L115" i="28"/>
  <c r="J115" i="28"/>
  <c r="L14" i="28"/>
  <c r="J18" i="28"/>
  <c r="J71" i="28" s="1"/>
  <c r="M18" i="28"/>
  <c r="M71" i="28" s="1"/>
  <c r="K77" i="28"/>
  <c r="K18" i="28"/>
  <c r="K71" i="28" s="1"/>
  <c r="I30" i="28"/>
  <c r="I26" i="28"/>
  <c r="M115" i="28"/>
  <c r="K51" i="28" l="1"/>
  <c r="L51" i="28" s="1"/>
  <c r="M51" i="28" s="1"/>
  <c r="I88" i="28"/>
  <c r="I110" i="28"/>
  <c r="I27" i="28"/>
  <c r="I31" i="28"/>
  <c r="I28" i="28"/>
  <c r="J26" i="28"/>
  <c r="I44" i="28"/>
  <c r="K72" i="28"/>
  <c r="K114" i="28" s="1"/>
  <c r="K96" i="28"/>
  <c r="I46" i="28"/>
  <c r="J95" i="28"/>
  <c r="K115" i="28"/>
  <c r="M96" i="28"/>
  <c r="M72" i="28"/>
  <c r="J96" i="28"/>
  <c r="J72" i="28"/>
  <c r="J54" i="28"/>
  <c r="I75" i="28"/>
  <c r="I77" i="28" s="1"/>
  <c r="I103" i="28"/>
  <c r="J101" i="28" s="1"/>
  <c r="J103" i="28" s="1"/>
  <c r="K101" i="28" s="1"/>
  <c r="K103" i="28" s="1"/>
  <c r="L101" i="28" s="1"/>
  <c r="L103" i="28" s="1"/>
  <c r="M101" i="28" s="1"/>
  <c r="M103" i="28" s="1"/>
  <c r="J30" i="28"/>
  <c r="I33" i="28"/>
  <c r="J97" i="28" l="1"/>
  <c r="J66" i="28" s="1"/>
  <c r="K30" i="28"/>
  <c r="M114" i="28"/>
  <c r="J88" i="28"/>
  <c r="J27" i="28"/>
  <c r="K26" i="28"/>
  <c r="J31" i="28"/>
  <c r="J33" i="28" s="1"/>
  <c r="J110" i="28"/>
  <c r="J28" i="28"/>
  <c r="J44" i="28"/>
  <c r="I34" i="28"/>
  <c r="I111" i="28"/>
  <c r="I115" i="28"/>
  <c r="K54" i="28"/>
  <c r="I50" i="28"/>
  <c r="I52" i="28" s="1"/>
  <c r="I89" i="28"/>
  <c r="I45" i="28"/>
  <c r="I90" i="28"/>
  <c r="J114" i="28"/>
  <c r="I91" i="28"/>
  <c r="I92" i="28" s="1"/>
  <c r="I67" i="28" s="1"/>
  <c r="J34" i="28" l="1"/>
  <c r="J111" i="28"/>
  <c r="K27" i="28"/>
  <c r="K31" i="28"/>
  <c r="K33" i="28" s="1"/>
  <c r="K110" i="28"/>
  <c r="L26" i="28"/>
  <c r="K28" i="28"/>
  <c r="K88" i="28"/>
  <c r="K44" i="28"/>
  <c r="I36" i="28"/>
  <c r="I37" i="28" s="1"/>
  <c r="J50" i="28"/>
  <c r="J52" i="28" s="1"/>
  <c r="J45" i="28"/>
  <c r="J89" i="28"/>
  <c r="J91" i="28" s="1"/>
  <c r="J92" i="28" s="1"/>
  <c r="J67" i="28" s="1"/>
  <c r="J90" i="28"/>
  <c r="L30" i="28"/>
  <c r="L54" i="28"/>
  <c r="J98" i="28"/>
  <c r="I65" i="28" l="1"/>
  <c r="I68" i="28" s="1"/>
  <c r="I55" i="28"/>
  <c r="J36" i="28"/>
  <c r="J37" i="28" s="1"/>
  <c r="J65" i="28" s="1"/>
  <c r="J68" i="28" s="1"/>
  <c r="J46" i="28"/>
  <c r="K95" i="28"/>
  <c r="L27" i="28"/>
  <c r="L31" i="28"/>
  <c r="L33" i="28" s="1"/>
  <c r="L110" i="28"/>
  <c r="M26" i="28"/>
  <c r="L28" i="28"/>
  <c r="L88" i="28"/>
  <c r="L44" i="28"/>
  <c r="K34" i="28"/>
  <c r="K111" i="28"/>
  <c r="M54" i="28"/>
  <c r="K50" i="28"/>
  <c r="K52" i="28" s="1"/>
  <c r="K45" i="28"/>
  <c r="K89" i="28"/>
  <c r="K90" i="28"/>
  <c r="M30" i="28"/>
  <c r="K91" i="28" l="1"/>
  <c r="K92" i="28" s="1"/>
  <c r="K67" i="28" s="1"/>
  <c r="J113" i="28"/>
  <c r="J79" i="28"/>
  <c r="L50" i="28"/>
  <c r="L52" i="28" s="1"/>
  <c r="L45" i="28"/>
  <c r="L89" i="28"/>
  <c r="L90" i="28"/>
  <c r="K36" i="28"/>
  <c r="K37" i="28" s="1"/>
  <c r="K65" i="28" s="1"/>
  <c r="L34" i="28"/>
  <c r="L111" i="28"/>
  <c r="M27" i="28"/>
  <c r="M31" i="28"/>
  <c r="M33" i="28" s="1"/>
  <c r="M44" i="28"/>
  <c r="M110" i="28"/>
  <c r="M88" i="28"/>
  <c r="K97" i="28"/>
  <c r="K66" i="28" s="1"/>
  <c r="J55" i="28"/>
  <c r="I56" i="28"/>
  <c r="I57" i="28" s="1"/>
  <c r="I113" i="28"/>
  <c r="I79" i="28"/>
  <c r="I81" i="28" s="1"/>
  <c r="K68" i="28" l="1"/>
  <c r="L91" i="28"/>
  <c r="L92" i="28" s="1"/>
  <c r="L67" i="28" s="1"/>
  <c r="K98" i="28"/>
  <c r="K113" i="28"/>
  <c r="K79" i="28"/>
  <c r="M45" i="28"/>
  <c r="M89" i="28"/>
  <c r="M90" i="28"/>
  <c r="M50" i="28"/>
  <c r="M52" i="28" s="1"/>
  <c r="I43" i="28"/>
  <c r="I47" i="28" s="1"/>
  <c r="J80" i="28"/>
  <c r="K55" i="28"/>
  <c r="J56" i="28"/>
  <c r="J57" i="28" s="1"/>
  <c r="L95" i="28"/>
  <c r="K46" i="28"/>
  <c r="J81" i="28"/>
  <c r="L36" i="28"/>
  <c r="L37" i="28" s="1"/>
  <c r="L65" i="28" s="1"/>
  <c r="M28" i="28"/>
  <c r="M91" i="28" l="1"/>
  <c r="M92" i="28" s="1"/>
  <c r="M67" i="28" s="1"/>
  <c r="K80" i="28"/>
  <c r="J43" i="28"/>
  <c r="J47" i="28" s="1"/>
  <c r="L97" i="28"/>
  <c r="L66" i="28" s="1"/>
  <c r="L68" i="28" s="1"/>
  <c r="L55" i="28"/>
  <c r="K56" i="28"/>
  <c r="K57" i="28" s="1"/>
  <c r="M111" i="28"/>
  <c r="M34" i="28"/>
  <c r="K81" i="28"/>
  <c r="L80" i="28" l="1"/>
  <c r="K43" i="28"/>
  <c r="K47" i="28" s="1"/>
  <c r="L56" i="28"/>
  <c r="L57" i="28" s="1"/>
  <c r="L113" i="28"/>
  <c r="L79" i="28"/>
  <c r="L81" i="28" s="1"/>
  <c r="M36" i="28"/>
  <c r="M37" i="28" s="1"/>
  <c r="L98" i="28"/>
  <c r="I36" i="25"/>
  <c r="N35" i="25" s="1"/>
  <c r="M65" i="28" l="1"/>
  <c r="M55" i="28"/>
  <c r="M56" i="28" s="1"/>
  <c r="M57" i="28" s="1"/>
  <c r="M95" i="28"/>
  <c r="L46" i="28"/>
  <c r="M80" i="28"/>
  <c r="L43" i="28"/>
  <c r="L47" i="28" s="1"/>
  <c r="M97" i="28" l="1"/>
  <c r="M66" i="28" s="1"/>
  <c r="M98" i="28"/>
  <c r="M46" i="28" s="1"/>
  <c r="M68" i="28"/>
  <c r="I33" i="25"/>
  <c r="D33" i="25"/>
  <c r="D32" i="25"/>
  <c r="M113" i="28" l="1"/>
  <c r="M79" i="28"/>
  <c r="M81" i="28" s="1"/>
  <c r="M43" i="28" s="1"/>
  <c r="M47" i="28" s="1"/>
  <c r="I34" i="25" l="1"/>
  <c r="J26" i="25" l="1"/>
  <c r="J27" i="25" l="1"/>
  <c r="N32" i="25" s="1"/>
  <c r="D31" i="25"/>
  <c r="D34" i="25" s="1"/>
  <c r="D36" i="25" s="1"/>
  <c r="N37" i="25" s="1"/>
  <c r="N36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F89675EF-9FF8-4867-A986-AF3E8F24BA11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J12" authorId="0" shapeId="0" xr:uid="{FDEE17BB-FC7E-48AB-A837-7B72AA3FE322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K12" authorId="0" shapeId="0" xr:uid="{8D8036E0-C3FD-4DE8-834B-227D0A397861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L12" authorId="0" shapeId="0" xr:uid="{4E9C9D44-7A11-46B8-9679-D043EEF19D4B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M12" authorId="0" shapeId="0" xr:uid="{4F4C3BF0-5151-4D9C-B2C3-720618AC957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A101" authorId="0" shapeId="0" xr:uid="{1A42A199-84DB-4EE8-B285-0B28E6DF17ED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sharedStrings.xml><?xml version="1.0" encoding="utf-8"?>
<sst xmlns="http://schemas.openxmlformats.org/spreadsheetml/2006/main" count="241" uniqueCount="124">
  <si>
    <t>Cash</t>
  </si>
  <si>
    <t>Debt</t>
  </si>
  <si>
    <t>Assumptions</t>
  </si>
  <si>
    <t>DCF Model</t>
  </si>
  <si>
    <t>EBIT</t>
  </si>
  <si>
    <t>Less: Cash Taxes</t>
  </si>
  <si>
    <t>Less: Capex</t>
  </si>
  <si>
    <t>Less: Changes in NWC</t>
  </si>
  <si>
    <t>Plus: D&amp;A</t>
  </si>
  <si>
    <t>Terminal Value</t>
  </si>
  <si>
    <t>Tax Rate</t>
  </si>
  <si>
    <t>Discount Rate</t>
  </si>
  <si>
    <t>Perpetural Growth Rate</t>
  </si>
  <si>
    <t>EV/EBITDA Mulltiple</t>
  </si>
  <si>
    <t>Unlevered FCF</t>
  </si>
  <si>
    <t>(Entry)/Exit</t>
  </si>
  <si>
    <t>EV/EBITDA</t>
  </si>
  <si>
    <t>Average</t>
  </si>
  <si>
    <t>Transaction Date</t>
  </si>
  <si>
    <t>Discounted Cash Flow</t>
  </si>
  <si>
    <t>Shares Outstanding</t>
  </si>
  <si>
    <t>Entry</t>
  </si>
  <si>
    <t>Exit</t>
  </si>
  <si>
    <t>Date</t>
  </si>
  <si>
    <t>Current Price</t>
  </si>
  <si>
    <t>Market Cap</t>
  </si>
  <si>
    <t>Plus: Debt</t>
  </si>
  <si>
    <t>Less: Cash</t>
  </si>
  <si>
    <t>Enterprise Value</t>
  </si>
  <si>
    <t>Plus: Cash</t>
  </si>
  <si>
    <t>Less: Debt</t>
  </si>
  <si>
    <t>Equity Value</t>
  </si>
  <si>
    <t>Equity Value/Share</t>
  </si>
  <si>
    <t>Intrinsic Value</t>
  </si>
  <si>
    <t>Market Value</t>
  </si>
  <si>
    <t>Rate of Return</t>
  </si>
  <si>
    <t>Target Price Upside</t>
  </si>
  <si>
    <t>Capex</t>
  </si>
  <si>
    <t>Fiscal Year End</t>
  </si>
  <si>
    <t>Transaction CF</t>
  </si>
  <si>
    <t>Table of Contents</t>
  </si>
  <si>
    <t>Market Value vs Intrinsic Value</t>
  </si>
  <si>
    <t>Upside</t>
  </si>
  <si>
    <t>Internal Rate of Return (IRR)</t>
  </si>
  <si>
    <t xml:space="preserve"> </t>
  </si>
  <si>
    <t>Historical Results</t>
  </si>
  <si>
    <t xml:space="preserve"> Forecast Period</t>
  </si>
  <si>
    <t>In Millions of US $</t>
  </si>
  <si>
    <t>Key Assumptions</t>
  </si>
  <si>
    <t>Revenue Growth (% Change)</t>
  </si>
  <si>
    <t>-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</si>
  <si>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</si>
  <si>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</si>
  <si>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</si>
  <si>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</si>
  <si>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</si>
  <si>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</si>
  <si>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</si>
  <si>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</si>
  <si>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</si>
  <si>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</si>
  <si>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</si>
  <si>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</si>
  <si>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</si>
  <si>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Income Statement</t>
  </si>
  <si>
    <t>Revenue</t>
  </si>
  <si>
    <t>Cost of Goods Sold (COGS)</t>
  </si>
  <si>
    <t>Gross Profit</t>
  </si>
  <si>
    <t>Expenses</t>
  </si>
  <si>
    <t>Research and Development Expenses</t>
  </si>
  <si>
    <t>SG&amp;A Expenses</t>
  </si>
  <si>
    <t>Other Operating Income or Expenses</t>
  </si>
  <si>
    <t>Total Expenses</t>
  </si>
  <si>
    <t>Earnings Before Tax</t>
  </si>
  <si>
    <t>Taxes</t>
  </si>
  <si>
    <t>Net Earnings</t>
  </si>
  <si>
    <t>Balance Sheet</t>
  </si>
  <si>
    <t>Assets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</si>
  <si>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</si>
  <si>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</si>
  <si>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</si>
  <si>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</si>
  <si>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</si>
  <si>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</si>
  <si>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Total Liabilities</t>
  </si>
  <si>
    <t>Shareholder's Equity</t>
  </si>
  <si>
    <t>Equity Capital</t>
  </si>
  <si>
    <t>Retained Earnings</t>
  </si>
  <si>
    <t>Total Liabilities &amp; Shareholder's Equity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</si>
  <si>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</si>
  <si>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</si>
  <si>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</si>
  <si>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</si>
  <si>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</si>
  <si>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</si>
  <si>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</si>
  <si>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</si>
  <si>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</si>
  <si>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</si>
  <si>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</si>
  <si>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</si>
  <si>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</si>
  <si>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</si>
  <si>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</si>
  <si>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</si>
  <si>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</si>
  <si>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</si>
  <si>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</si>
  <si>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</si>
  <si>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</si>
  <si>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</si>
  <si>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</si>
  <si>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</si>
  <si>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</si>
  <si>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</si>
  <si>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</si>
  <si>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</si>
  <si>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</si>
  <si>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</si>
  <si>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</si>
  <si>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20.0x</t>
  </si>
  <si>
    <t xml:space="preserve">In Millions Of $ </t>
  </si>
  <si>
    <t>Perpetual Growth</t>
  </si>
  <si>
    <t xml:space="preserve">3-Statement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</si>
</sst>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_-* #,##0_-;\(#,##0\)_-;_-* &quot;-&quot;_-;_-@_-"/>
    <numFmt numFmtId="166" formatCode="_-* #,##0_-;\-* #,##0_-;_-* &quot;-&quot;??_-;_-@_-"/>
    <numFmt numFmtId="167" formatCode="_(* #,##0_);_(* \(#,##0\);_(* &quot;-&quot;??_);_(@_)"/>
    <numFmt numFmtId="168" formatCode="0.0\x"/>
    <numFmt numFmtId="169" formatCode="_-* #,##0.00_-;\(#,##0.00\)_-;_-* &quot;-&quot;_-;_-@_-"/>
    <numFmt numFmtId="170" formatCode="_(#,##0_)_%;\(#,##0\)_%;_(&quot;–&quot;_)_%;_(@_)_%"/>
    <numFmt numFmtId="171" formatCode="_-* #,##0_-;\(#,##0\)_-;_-* &quot;-&quot;_-;_-@"/>
    <numFmt numFmtId="172" formatCode="0.0%"/>
    <numFmt numFmtId="173" formatCode="0.0"/>
    <numFmt numFmtId="174" formatCode="_-* #,##0_-;\-* #,##0_-;_-* &quot;-&quot;??_-;_-@"/>
    <numFmt numFmtId="175" formatCode="0.0000_ ;\-0.0000\ "/>
    <numFmt numFmtId="176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Open sans"/>
      <family val="2"/>
    </font>
    <font>
      <sz val="11"/>
      <color theme="0"/>
      <name val="Open sans"/>
      <family val="2"/>
    </font>
    <font>
      <b/>
      <sz val="14"/>
      <color rgb="FF132E57"/>
      <name val="Open Sans"/>
      <family val="2"/>
    </font>
    <font>
      <u/>
      <sz val="12"/>
      <color theme="10"/>
      <name val="Open Sans"/>
      <family val="2"/>
    </font>
    <font>
      <sz val="10"/>
      <color rgb="FF002060"/>
      <name val="Open Sans"/>
      <family val="2"/>
    </font>
    <font>
      <b/>
      <sz val="12"/>
      <color theme="0"/>
      <name val="Open Sans"/>
      <family val="2"/>
    </font>
    <font>
      <sz val="10"/>
      <color theme="0"/>
      <name val="Open Sans"/>
      <family val="2"/>
    </font>
    <font>
      <b/>
      <sz val="14"/>
      <color rgb="FF3271D2"/>
      <name val="Open Sans"/>
      <family val="2"/>
    </font>
    <font>
      <u/>
      <sz val="10"/>
      <color theme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0"/>
      <color rgb="FF000000"/>
      <name val="Open Sans"/>
      <family val="2"/>
    </font>
    <font>
      <b/>
      <sz val="14"/>
      <color theme="5" tint="-0.249977111117893"/>
      <name val="Open Sans"/>
      <family val="2"/>
    </font>
    <font>
      <b/>
      <sz val="20"/>
      <color theme="5" tint="-0.249977111117893"/>
      <name val="Open Sans"/>
      <family val="2"/>
    </font>
    <font>
      <u/>
      <sz val="12"/>
      <color theme="5" tint="-0.249977111117893"/>
      <name val="Open Sans"/>
      <family val="2"/>
    </font>
    <font>
      <sz val="8"/>
      <color theme="8" tint="-0.249977111117893"/>
      <name val="Arial Narrow"/>
      <family val="2"/>
    </font>
    <font>
      <sz val="12"/>
      <color theme="8" tint="-0.249977111117893"/>
      <name val="Arial Narrow"/>
      <family val="2"/>
    </font>
    <font>
      <b/>
      <sz val="12"/>
      <name val="Arial Narrow"/>
      <family val="2"/>
    </font>
    <font>
      <sz val="11"/>
      <name val="Arial Narrow"/>
      <family val="2"/>
    </font>
    <font>
      <b/>
      <sz val="12"/>
      <color theme="0"/>
      <name val="Arial Narrow"/>
      <family val="2"/>
    </font>
    <font>
      <b/>
      <sz val="14"/>
      <color theme="8" tint="-0.249977111117893"/>
      <name val="Arial Narrow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i/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4"/>
      <color rgb="FF996633"/>
      <name val="Arial Narrow"/>
      <family val="2"/>
    </font>
    <font>
      <b/>
      <sz val="14"/>
      <color rgb="FF3271D2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Arial Narrow"/>
      <family val="2"/>
    </font>
    <font>
      <b/>
      <sz val="12"/>
      <color theme="8" tint="-0.499984740745262"/>
      <name val="Open Sans"/>
      <family val="2"/>
    </font>
    <font>
      <sz val="12"/>
      <color theme="5" tint="-0.249977111117893"/>
      <name val="Open sans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C6600"/>
        <bgColor rgb="FF132E57"/>
      </patternFill>
    </fill>
    <fill>
      <patternFill patternType="solid">
        <fgColor theme="8" tint="0.79998168889431442"/>
        <bgColor rgb="FF1E849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rgb="FF132E5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165" fontId="4" fillId="0" borderId="0" xfId="1" applyNumberFormat="1" applyFont="1"/>
    <xf numFmtId="165" fontId="5" fillId="0" borderId="0" xfId="1" applyNumberFormat="1" applyFont="1"/>
    <xf numFmtId="165" fontId="4" fillId="0" borderId="0" xfId="1" applyNumberFormat="1" applyFont="1" applyAlignment="1">
      <alignment horizontal="center"/>
    </xf>
    <xf numFmtId="165" fontId="6" fillId="0" borderId="0" xfId="1" applyNumberFormat="1" applyFont="1"/>
    <xf numFmtId="165" fontId="8" fillId="0" borderId="0" xfId="1" applyNumberFormat="1" applyFont="1"/>
    <xf numFmtId="14" fontId="6" fillId="0" borderId="0" xfId="1" applyNumberFormat="1" applyFont="1"/>
    <xf numFmtId="165" fontId="4" fillId="0" borderId="0" xfId="1" applyNumberFormat="1" applyFont="1" applyBorder="1"/>
    <xf numFmtId="165" fontId="6" fillId="0" borderId="0" xfId="1" applyNumberFormat="1" applyFont="1" applyBorder="1"/>
    <xf numFmtId="169" fontId="4" fillId="0" borderId="0" xfId="1" applyNumberFormat="1" applyFont="1"/>
    <xf numFmtId="165" fontId="8" fillId="0" borderId="0" xfId="1" applyNumberFormat="1" applyFont="1" applyBorder="1"/>
    <xf numFmtId="165" fontId="4" fillId="0" borderId="0" xfId="1" applyNumberFormat="1" applyFont="1" applyAlignment="1">
      <alignment horizontal="left" indent="5"/>
    </xf>
    <xf numFmtId="0" fontId="1" fillId="0" borderId="0" xfId="7" applyFont="1"/>
    <xf numFmtId="0" fontId="1" fillId="0" borderId="5" xfId="7" applyFont="1" applyBorder="1"/>
    <xf numFmtId="0" fontId="1" fillId="0" borderId="6" xfId="7" applyFont="1" applyBorder="1"/>
    <xf numFmtId="0" fontId="14" fillId="0" borderId="0" xfId="7" applyFont="1" applyAlignment="1">
      <alignment horizontal="right"/>
    </xf>
    <xf numFmtId="0" fontId="1" fillId="0" borderId="0" xfId="7" applyFont="1" applyProtection="1">
      <protection locked="0"/>
    </xf>
    <xf numFmtId="0" fontId="12" fillId="0" borderId="0" xfId="7" applyFont="1"/>
    <xf numFmtId="0" fontId="4" fillId="0" borderId="0" xfId="7" applyFont="1"/>
    <xf numFmtId="170" fontId="15" fillId="0" borderId="0" xfId="8" applyNumberFormat="1" applyFont="1" applyFill="1" applyBorder="1" applyProtection="1">
      <protection locked="0"/>
    </xf>
    <xf numFmtId="0" fontId="16" fillId="0" borderId="0" xfId="8" applyFont="1" applyFill="1" applyBorder="1" applyProtection="1">
      <protection locked="0"/>
    </xf>
    <xf numFmtId="170" fontId="3" fillId="0" borderId="0" xfId="7" applyNumberFormat="1" applyFont="1"/>
    <xf numFmtId="170" fontId="11" fillId="0" borderId="0" xfId="8" applyNumberFormat="1" applyFill="1" applyBorder="1"/>
    <xf numFmtId="0" fontId="4" fillId="0" borderId="0" xfId="8" applyFont="1" applyFill="1" applyBorder="1"/>
    <xf numFmtId="0" fontId="1" fillId="0" borderId="8" xfId="7" applyFont="1" applyBorder="1"/>
    <xf numFmtId="0" fontId="1" fillId="0" borderId="9" xfId="7" applyFont="1" applyBorder="1"/>
    <xf numFmtId="0" fontId="1" fillId="0" borderId="10" xfId="7" applyFont="1" applyBorder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0" fillId="0" borderId="0" xfId="4" applyFont="1" applyAlignment="1">
      <alignment horizontal="right"/>
    </xf>
    <xf numFmtId="9" fontId="21" fillId="0" borderId="0" xfId="2" applyFont="1" applyBorder="1" applyAlignment="1">
      <alignment horizontal="right"/>
    </xf>
    <xf numFmtId="9" fontId="21" fillId="0" borderId="0" xfId="2" applyFont="1" applyAlignment="1">
      <alignment horizontal="right"/>
    </xf>
    <xf numFmtId="168" fontId="21" fillId="0" borderId="0" xfId="1" applyNumberFormat="1" applyFont="1" applyAlignment="1">
      <alignment horizontal="right"/>
    </xf>
    <xf numFmtId="14" fontId="21" fillId="0" borderId="0" xfId="1" applyNumberFormat="1" applyFont="1"/>
    <xf numFmtId="14" fontId="21" fillId="0" borderId="0" xfId="1" applyNumberFormat="1" applyFont="1" applyFill="1"/>
    <xf numFmtId="166" fontId="21" fillId="0" borderId="0" xfId="1" applyNumberFormat="1" applyFont="1" applyAlignment="1">
      <alignment horizontal="right"/>
    </xf>
    <xf numFmtId="165" fontId="21" fillId="0" borderId="0" xfId="1" applyNumberFormat="1" applyFont="1"/>
    <xf numFmtId="14" fontId="23" fillId="0" borderId="0" xfId="1" applyNumberFormat="1" applyFont="1" applyBorder="1"/>
    <xf numFmtId="165" fontId="24" fillId="0" borderId="0" xfId="1" applyNumberFormat="1" applyFont="1" applyBorder="1"/>
    <xf numFmtId="167" fontId="24" fillId="0" borderId="0" xfId="1" applyNumberFormat="1" applyFont="1"/>
    <xf numFmtId="165" fontId="24" fillId="0" borderId="1" xfId="1" applyNumberFormat="1" applyFont="1" applyBorder="1"/>
    <xf numFmtId="165" fontId="21" fillId="0" borderId="0" xfId="1" applyNumberFormat="1" applyFont="1" applyBorder="1"/>
    <xf numFmtId="167" fontId="21" fillId="0" borderId="0" xfId="1" applyNumberFormat="1" applyFont="1"/>
    <xf numFmtId="165" fontId="24" fillId="0" borderId="0" xfId="1" applyNumberFormat="1" applyFont="1"/>
    <xf numFmtId="165" fontId="24" fillId="0" borderId="0" xfId="1" applyNumberFormat="1" applyFont="1" applyFill="1"/>
    <xf numFmtId="165" fontId="21" fillId="0" borderId="1" xfId="1" applyNumberFormat="1" applyFont="1" applyBorder="1"/>
    <xf numFmtId="9" fontId="24" fillId="0" borderId="0" xfId="2" applyFont="1" applyBorder="1"/>
    <xf numFmtId="9" fontId="24" fillId="0" borderId="0" xfId="2" applyFont="1"/>
    <xf numFmtId="169" fontId="24" fillId="0" borderId="0" xfId="1" applyNumberFormat="1" applyFont="1"/>
    <xf numFmtId="165" fontId="7" fillId="0" borderId="11" xfId="1" applyNumberFormat="1" applyFont="1" applyFill="1" applyBorder="1"/>
    <xf numFmtId="165" fontId="6" fillId="0" borderId="11" xfId="1" applyNumberFormat="1" applyFont="1" applyFill="1" applyBorder="1"/>
    <xf numFmtId="165" fontId="5" fillId="0" borderId="0" xfId="1" applyNumberFormat="1" applyFont="1" applyFill="1" applyBorder="1"/>
    <xf numFmtId="165" fontId="4" fillId="0" borderId="0" xfId="1" applyNumberFormat="1" applyFont="1" applyFill="1" applyBorder="1"/>
    <xf numFmtId="165" fontId="5" fillId="0" borderId="11" xfId="1" applyNumberFormat="1" applyFont="1" applyFill="1" applyBorder="1"/>
    <xf numFmtId="165" fontId="4" fillId="0" borderId="11" xfId="1" applyNumberFormat="1" applyFont="1" applyFill="1" applyBorder="1"/>
    <xf numFmtId="165" fontId="24" fillId="0" borderId="12" xfId="1" applyNumberFormat="1" applyFont="1" applyBorder="1"/>
    <xf numFmtId="14" fontId="23" fillId="0" borderId="0" xfId="1" applyNumberFormat="1" applyFont="1" applyFill="1" applyBorder="1"/>
    <xf numFmtId="0" fontId="22" fillId="0" borderId="13" xfId="1" applyNumberFormat="1" applyFont="1" applyFill="1" applyBorder="1"/>
    <xf numFmtId="165" fontId="5" fillId="0" borderId="13" xfId="1" applyNumberFormat="1" applyFont="1" applyFill="1" applyBorder="1" applyAlignment="1">
      <alignment horizontal="right"/>
    </xf>
    <xf numFmtId="165" fontId="5" fillId="0" borderId="11" xfId="1" applyNumberFormat="1" applyFont="1" applyFill="1" applyBorder="1" applyAlignment="1">
      <alignment horizontal="right"/>
    </xf>
    <xf numFmtId="165" fontId="4" fillId="0" borderId="0" xfId="1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5" fontId="4" fillId="0" borderId="11" xfId="1" applyNumberFormat="1" applyFont="1" applyFill="1" applyBorder="1" applyAlignment="1">
      <alignment horizontal="center"/>
    </xf>
    <xf numFmtId="165" fontId="3" fillId="2" borderId="0" xfId="1" applyNumberFormat="1" applyFont="1" applyFill="1"/>
    <xf numFmtId="165" fontId="3" fillId="2" borderId="0" xfId="1" applyNumberFormat="1" applyFont="1" applyFill="1" applyAlignment="1">
      <alignment horizontal="center"/>
    </xf>
    <xf numFmtId="0" fontId="19" fillId="3" borderId="0" xfId="5" applyFont="1" applyFill="1" applyAlignment="1">
      <alignment vertical="center"/>
    </xf>
    <xf numFmtId="0" fontId="25" fillId="3" borderId="0" xfId="5" applyFont="1" applyFill="1" applyAlignment="1">
      <alignment vertical="center"/>
    </xf>
    <xf numFmtId="0" fontId="1" fillId="2" borderId="2" xfId="7" applyFont="1" applyFill="1" applyBorder="1"/>
    <xf numFmtId="0" fontId="1" fillId="2" borderId="3" xfId="7" applyFont="1" applyFill="1" applyBorder="1"/>
    <xf numFmtId="0" fontId="1" fillId="2" borderId="4" xfId="7" applyFont="1" applyFill="1" applyBorder="1"/>
    <xf numFmtId="0" fontId="1" fillId="2" borderId="5" xfId="7" applyFont="1" applyFill="1" applyBorder="1"/>
    <xf numFmtId="0" fontId="1" fillId="2" borderId="0" xfId="7" applyFont="1" applyFill="1"/>
    <xf numFmtId="0" fontId="1" fillId="2" borderId="6" xfId="7" applyFont="1" applyFill="1" applyBorder="1"/>
    <xf numFmtId="0" fontId="26" fillId="0" borderId="0" xfId="7" applyFont="1" applyProtection="1">
      <protection locked="0"/>
    </xf>
    <xf numFmtId="0" fontId="25" fillId="0" borderId="7" xfId="7" applyFont="1" applyBorder="1" applyProtection="1">
      <protection locked="0"/>
    </xf>
    <xf numFmtId="170" fontId="27" fillId="0" borderId="0" xfId="4" applyNumberFormat="1" applyFont="1" applyFill="1" applyBorder="1" applyProtection="1">
      <protection locked="0"/>
    </xf>
    <xf numFmtId="0" fontId="17" fillId="2" borderId="0" xfId="7" applyFont="1" applyFill="1"/>
    <xf numFmtId="0" fontId="4" fillId="2" borderId="0" xfId="7" applyFont="1" applyFill="1"/>
    <xf numFmtId="170" fontId="13" fillId="2" borderId="0" xfId="7" applyNumberFormat="1" applyFont="1" applyFill="1"/>
    <xf numFmtId="0" fontId="18" fillId="2" borderId="0" xfId="7" applyFont="1" applyFill="1"/>
    <xf numFmtId="171" fontId="28" fillId="4" borderId="0" xfId="0" applyNumberFormat="1" applyFont="1" applyFill="1"/>
    <xf numFmtId="171" fontId="29" fillId="4" borderId="0" xfId="0" applyNumberFormat="1" applyFont="1" applyFill="1"/>
    <xf numFmtId="171" fontId="29" fillId="4" borderId="0" xfId="0" applyNumberFormat="1" applyFont="1" applyFill="1" applyAlignment="1">
      <alignment horizontal="center"/>
    </xf>
    <xf numFmtId="171" fontId="30" fillId="4" borderId="0" xfId="0" applyNumberFormat="1" applyFont="1" applyFill="1"/>
    <xf numFmtId="171" fontId="33" fillId="4" borderId="0" xfId="0" applyNumberFormat="1" applyFont="1" applyFill="1"/>
    <xf numFmtId="171" fontId="33" fillId="4" borderId="0" xfId="0" applyNumberFormat="1" applyFont="1" applyFill="1" applyAlignment="1">
      <alignment horizontal="center"/>
    </xf>
    <xf numFmtId="0" fontId="34" fillId="5" borderId="0" xfId="0" applyFont="1" applyFill="1"/>
    <xf numFmtId="0" fontId="35" fillId="4" borderId="0" xfId="0" applyFont="1" applyFill="1"/>
    <xf numFmtId="0" fontId="35" fillId="7" borderId="0" xfId="0" applyFont="1" applyFill="1"/>
    <xf numFmtId="171" fontId="3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right"/>
    </xf>
    <xf numFmtId="171" fontId="37" fillId="0" borderId="0" xfId="0" applyNumberFormat="1" applyFont="1"/>
    <xf numFmtId="171" fontId="37" fillId="0" borderId="0" xfId="0" applyNumberFormat="1" applyFont="1" applyAlignment="1">
      <alignment horizontal="center"/>
    </xf>
    <xf numFmtId="171" fontId="38" fillId="9" borderId="0" xfId="0" applyNumberFormat="1" applyFont="1" applyFill="1" applyAlignment="1">
      <alignment vertical="center"/>
    </xf>
    <xf numFmtId="0" fontId="39" fillId="9" borderId="0" xfId="0" applyFont="1" applyFill="1" applyAlignment="1">
      <alignment vertical="center"/>
    </xf>
    <xf numFmtId="0" fontId="39" fillId="10" borderId="0" xfId="0" applyFont="1" applyFill="1" applyAlignment="1">
      <alignment vertical="center"/>
    </xf>
    <xf numFmtId="171" fontId="40" fillId="0" borderId="0" xfId="0" applyNumberFormat="1" applyFont="1"/>
    <xf numFmtId="171" fontId="41" fillId="0" borderId="0" xfId="0" applyNumberFormat="1" applyFont="1"/>
    <xf numFmtId="171" fontId="37" fillId="0" borderId="7" xfId="0" applyNumberFormat="1" applyFont="1" applyBorder="1"/>
    <xf numFmtId="171" fontId="37" fillId="0" borderId="14" xfId="0" applyNumberFormat="1" applyFont="1" applyBorder="1"/>
    <xf numFmtId="171" fontId="41" fillId="0" borderId="14" xfId="0" applyNumberFormat="1" applyFont="1" applyBorder="1"/>
    <xf numFmtId="171" fontId="41" fillId="0" borderId="14" xfId="0" applyNumberFormat="1" applyFont="1" applyBorder="1" applyAlignment="1">
      <alignment horizontal="center"/>
    </xf>
    <xf numFmtId="172" fontId="37" fillId="0" borderId="0" xfId="0" applyNumberFormat="1" applyFont="1"/>
    <xf numFmtId="10" fontId="37" fillId="0" borderId="14" xfId="0" applyNumberFormat="1" applyFont="1" applyBorder="1"/>
    <xf numFmtId="9" fontId="40" fillId="0" borderId="14" xfId="0" applyNumberFormat="1" applyFont="1" applyBorder="1"/>
    <xf numFmtId="9" fontId="37" fillId="0" borderId="0" xfId="0" applyNumberFormat="1" applyFont="1"/>
    <xf numFmtId="172" fontId="40" fillId="0" borderId="0" xfId="0" applyNumberFormat="1" applyFont="1"/>
    <xf numFmtId="173" fontId="37" fillId="0" borderId="0" xfId="0" applyNumberFormat="1" applyFont="1"/>
    <xf numFmtId="171" fontId="42" fillId="0" borderId="0" xfId="0" applyNumberFormat="1" applyFont="1"/>
    <xf numFmtId="171" fontId="42" fillId="0" borderId="0" xfId="0" applyNumberFormat="1" applyFont="1" applyAlignment="1">
      <alignment horizontal="center"/>
    </xf>
    <xf numFmtId="9" fontId="40" fillId="0" borderId="0" xfId="0" applyNumberFormat="1" applyFont="1" applyAlignment="1">
      <alignment horizontal="center"/>
    </xf>
    <xf numFmtId="0" fontId="38" fillId="9" borderId="0" xfId="0" applyFont="1" applyFill="1" applyAlignment="1">
      <alignment vertical="center"/>
    </xf>
    <xf numFmtId="171" fontId="41" fillId="0" borderId="0" xfId="0" applyNumberFormat="1" applyFont="1" applyAlignment="1">
      <alignment horizontal="center"/>
    </xf>
    <xf numFmtId="171" fontId="43" fillId="0" borderId="0" xfId="0" applyNumberFormat="1" applyFont="1"/>
    <xf numFmtId="3" fontId="43" fillId="0" borderId="0" xfId="0" applyNumberFormat="1" applyFont="1"/>
    <xf numFmtId="167" fontId="37" fillId="0" borderId="0" xfId="0" applyNumberFormat="1" applyFont="1"/>
    <xf numFmtId="9" fontId="43" fillId="0" borderId="0" xfId="0" applyNumberFormat="1" applyFont="1"/>
    <xf numFmtId="171" fontId="41" fillId="0" borderId="15" xfId="0" applyNumberFormat="1" applyFont="1" applyBorder="1"/>
    <xf numFmtId="171" fontId="41" fillId="0" borderId="15" xfId="0" applyNumberFormat="1" applyFont="1" applyBorder="1" applyAlignment="1">
      <alignment horizontal="center"/>
    </xf>
    <xf numFmtId="0" fontId="44" fillId="0" borderId="0" xfId="0" applyFont="1"/>
    <xf numFmtId="174" fontId="37" fillId="0" borderId="0" xfId="0" applyNumberFormat="1" applyFont="1"/>
    <xf numFmtId="171" fontId="44" fillId="0" borderId="0" xfId="0" applyNumberFormat="1" applyFont="1"/>
    <xf numFmtId="171" fontId="41" fillId="0" borderId="16" xfId="0" applyNumberFormat="1" applyFont="1" applyBorder="1"/>
    <xf numFmtId="171" fontId="41" fillId="0" borderId="16" xfId="0" applyNumberFormat="1" applyFont="1" applyBorder="1" applyAlignment="1">
      <alignment horizontal="center"/>
    </xf>
    <xf numFmtId="175" fontId="42" fillId="0" borderId="0" xfId="0" applyNumberFormat="1" applyFont="1"/>
    <xf numFmtId="175" fontId="42" fillId="0" borderId="0" xfId="0" applyNumberFormat="1" applyFont="1" applyAlignment="1">
      <alignment horizontal="center"/>
    </xf>
    <xf numFmtId="171" fontId="37" fillId="0" borderId="14" xfId="0" applyNumberFormat="1" applyFont="1" applyBorder="1" applyAlignment="1">
      <alignment horizontal="center"/>
    </xf>
    <xf numFmtId="0" fontId="38" fillId="11" borderId="0" xfId="0" applyFont="1" applyFill="1" applyAlignment="1">
      <alignment vertical="center"/>
    </xf>
    <xf numFmtId="171" fontId="30" fillId="5" borderId="0" xfId="0" applyNumberFormat="1" applyFont="1" applyFill="1"/>
    <xf numFmtId="0" fontId="31" fillId="6" borderId="0" xfId="0" applyFont="1" applyFill="1"/>
    <xf numFmtId="171" fontId="32" fillId="7" borderId="0" xfId="0" applyNumberFormat="1" applyFont="1" applyFill="1"/>
    <xf numFmtId="0" fontId="31" fillId="8" borderId="0" xfId="0" applyFont="1" applyFill="1"/>
    <xf numFmtId="39" fontId="21" fillId="0" borderId="0" xfId="1" applyNumberFormat="1" applyFont="1" applyAlignment="1">
      <alignment horizontal="right"/>
    </xf>
    <xf numFmtId="165" fontId="45" fillId="2" borderId="0" xfId="1" applyNumberFormat="1" applyFont="1" applyFill="1"/>
    <xf numFmtId="176" fontId="4" fillId="0" borderId="0" xfId="1" applyNumberFormat="1" applyFont="1"/>
    <xf numFmtId="172" fontId="21" fillId="0" borderId="0" xfId="2" applyNumberFormat="1" applyFont="1" applyAlignment="1">
      <alignment horizontal="right"/>
    </xf>
    <xf numFmtId="10" fontId="24" fillId="0" borderId="0" xfId="1" applyNumberFormat="1" applyFont="1"/>
    <xf numFmtId="0" fontId="46" fillId="0" borderId="5" xfId="7" applyFont="1" applyBorder="1"/>
  </cellXfs>
  <cellStyles count="9">
    <cellStyle name="Comma" xfId="1" builtinId="3"/>
    <cellStyle name="Hyperlink" xfId="4" builtinId="8"/>
    <cellStyle name="Hyperlink 2" xfId="6" xr:uid="{00000000-0005-0000-0000-000002000000}"/>
    <cellStyle name="Hyperlink 2 2" xfId="8" xr:uid="{A15ECA47-CB26-40AD-B182-7EFA407583D9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65687AD3-88B9-461F-8736-3AEEF1815662}"/>
    <cellStyle name="Percent" xfId="2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CCCC00"/>
      <color rgb="FF33CCFF"/>
      <color rgb="FFFFFFFF"/>
      <color rgb="FFFF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9E5F7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Model'!$E$19:$I$19</c:f>
              <c:numCache>
                <c:formatCode>m/d/yyyy</c:formatCode>
                <c:ptCount val="5"/>
                <c:pt idx="0">
                  <c:v>46203</c:v>
                </c:pt>
                <c:pt idx="1">
                  <c:v>46568</c:v>
                </c:pt>
                <c:pt idx="2">
                  <c:v>46934</c:v>
                </c:pt>
                <c:pt idx="3">
                  <c:v>47299</c:v>
                </c:pt>
                <c:pt idx="4">
                  <c:v>47664</c:v>
                </c:pt>
              </c:numCache>
            </c:numRef>
          </c:cat>
          <c:val>
            <c:numRef>
              <c:f>'DCF Model'!$E$27:$I$27</c:f>
              <c:numCache>
                <c:formatCode>_-* #,##0_-;\(#,##0\)_-;_-* "-"_-;_-@_-</c:formatCode>
                <c:ptCount val="5"/>
                <c:pt idx="0">
                  <c:v>105141.57654568669</c:v>
                </c:pt>
                <c:pt idx="1">
                  <c:v>119355.26299473821</c:v>
                </c:pt>
                <c:pt idx="2">
                  <c:v>135819.75255438493</c:v>
                </c:pt>
                <c:pt idx="3">
                  <c:v>154114.92057131467</c:v>
                </c:pt>
                <c:pt idx="4">
                  <c:v>174502.57744229172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A-4754-B867-94CF948CE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42849320"/>
        <c:axId val="542849648"/>
      </c:barChart>
      <c:dateAx>
        <c:axId val="542849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648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54284964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Market Value vs Intrinsic Value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8DE9D384-90CA-46AD-9838-15A56339DF8B}" formatIdx="1">
          <cx:spPr>
            <a:solidFill>
              <a:srgbClr val="D9E5F7"/>
            </a:solidFill>
          </cx:spPr>
          <cx:dataLabels pos="outEnd">
            <cx:numFmt formatCode="$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/>
                    </a:solidFill>
                  </a:defRPr>
                </a:pPr>
                <a:endParaRPr lang="en-US" sz="900" b="0" i="0" u="none" strike="noStrike" baseline="0">
                  <a:solidFill>
                    <a:schemeClr val="bg2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  <cx:numFmt formatCode="$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714376</xdr:colOff>
      <xdr:row>4</xdr:row>
      <xdr:rowOff>28575</xdr:rowOff>
    </xdr:from>
    <xdr:to>
      <xdr:col>9</xdr:col>
      <xdr:colOff>771525</xdr:colOff>
      <xdr:row>15</xdr:row>
      <xdr:rowOff>51063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1E59A-1A30-40A8-B4F9-0770A24C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257174</xdr:colOff>
      <xdr:row>4</xdr:row>
      <xdr:rowOff>47626</xdr:rowOff>
    </xdr:from>
    <xdr:to>
      <xdr:col>13</xdr:col>
      <xdr:colOff>781049</xdr:colOff>
      <xdr:row>15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79C28A-B758-47E1-9CB3-ABF566CBF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3834" y="1403986"/>
              <a:ext cx="3107055" cy="2255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C3DD-53EE-457E-906C-677EF8C9E335}">
  <sheetPr>
    <pageSetUpPr fitToPage="1"/>
  </sheetPr>
  <dimension ref="A1:M40"/>
  <sheetViews>
    <sheetView showGridLines="0" tabSelected="1" topLeftCell="A6" zoomScale="70" zoomScaleNormal="70" workbookViewId="0">
      <selection activeCell="E13" sqref="E13"/>
    </sheetView>
  </sheetViews>
  <sheetFormatPr defaultRowHeight="14.4" x14ac:dyDescent="0.3"/>
  <cols>
    <col min="1" max="1" width="4.6640625" customWidth="1"/>
    <col min="2" max="2" width="4.77734375" customWidth="1"/>
    <col min="3" max="3" width="36.6640625" customWidth="1"/>
    <col min="4" max="11" width="10.6640625" customWidth="1"/>
    <col min="12" max="12" width="36.6640625" customWidth="1"/>
    <col min="13" max="13" width="4.77734375" customWidth="1"/>
  </cols>
  <sheetData>
    <row r="1" spans="1:13" ht="19.5" customHeight="1" thickBot="1" x14ac:dyDescent="0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9.5" customHeight="1" thickTop="1" x14ac:dyDescent="0.35">
      <c r="A2" s="12"/>
      <c r="B2" s="68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</row>
    <row r="3" spans="1:13" ht="19.5" customHeight="1" x14ac:dyDescent="0.35">
      <c r="A3" s="12"/>
      <c r="B3" s="71"/>
      <c r="C3" s="72"/>
      <c r="D3" s="72"/>
      <c r="E3" s="72"/>
      <c r="F3" s="72"/>
      <c r="G3" s="72"/>
      <c r="H3" s="72"/>
      <c r="I3" s="72"/>
      <c r="J3" s="72"/>
      <c r="K3" s="72"/>
      <c r="L3" s="72"/>
      <c r="M3" s="73"/>
    </row>
    <row r="4" spans="1:13" ht="19.5" customHeight="1" x14ac:dyDescent="0.35">
      <c r="A4" s="12"/>
      <c r="B4" s="71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</row>
    <row r="5" spans="1:13" ht="19.5" customHeight="1" x14ac:dyDescent="0.35">
      <c r="A5" s="12"/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3"/>
    </row>
    <row r="6" spans="1:13" ht="19.5" customHeight="1" x14ac:dyDescent="0.35">
      <c r="A6" s="12"/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3"/>
    </row>
    <row r="7" spans="1:13" ht="19.5" customHeight="1" x14ac:dyDescent="0.35">
      <c r="A7" s="12"/>
      <c r="B7" s="71"/>
      <c r="C7" s="72"/>
      <c r="D7" s="72"/>
      <c r="E7" s="72"/>
      <c r="F7" s="72"/>
      <c r="G7" s="72"/>
      <c r="H7" s="72"/>
      <c r="I7" s="72"/>
      <c r="J7" s="72"/>
      <c r="K7" s="72"/>
      <c r="L7" s="72"/>
      <c r="M7" s="73"/>
    </row>
    <row r="8" spans="1:13" ht="19.5" customHeight="1" x14ac:dyDescent="0.35">
      <c r="A8" s="12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3"/>
    </row>
    <row r="9" spans="1:13" ht="19.5" customHeight="1" x14ac:dyDescent="0.35">
      <c r="A9" s="12"/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3"/>
    </row>
    <row r="10" spans="1:13" ht="19.5" customHeight="1" x14ac:dyDescent="0.35">
      <c r="A10" s="12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4"/>
    </row>
    <row r="11" spans="1:13" ht="28.5" customHeight="1" x14ac:dyDescent="0.65">
      <c r="A11" s="12"/>
      <c r="B11" s="13"/>
      <c r="C11" s="74" t="s">
        <v>3</v>
      </c>
      <c r="D11" s="12"/>
      <c r="E11" s="12"/>
      <c r="F11" s="12"/>
      <c r="G11" s="12"/>
      <c r="H11" s="12"/>
      <c r="I11" s="12"/>
      <c r="J11" s="12"/>
      <c r="K11" s="12"/>
      <c r="L11" s="15"/>
      <c r="M11" s="14"/>
    </row>
    <row r="12" spans="1:13" ht="19.5" customHeight="1" x14ac:dyDescent="0.35">
      <c r="A12" s="12"/>
      <c r="B12" s="13"/>
      <c r="C12" s="16"/>
      <c r="D12" s="12"/>
      <c r="E12" s="12"/>
      <c r="F12" s="12"/>
      <c r="G12" s="12"/>
      <c r="H12" s="12"/>
      <c r="I12" s="12"/>
      <c r="J12" s="12"/>
      <c r="K12" s="17"/>
      <c r="L12" s="12"/>
      <c r="M12" s="14"/>
    </row>
    <row r="13" spans="1:13" ht="19.5" customHeight="1" x14ac:dyDescent="0.5">
      <c r="A13" s="12"/>
      <c r="B13" s="13"/>
      <c r="C13" s="75" t="s">
        <v>40</v>
      </c>
      <c r="D13" s="18"/>
      <c r="E13" s="18"/>
      <c r="F13" s="18"/>
      <c r="G13" s="18"/>
      <c r="H13" s="18"/>
      <c r="I13" s="18"/>
      <c r="J13" s="18"/>
      <c r="K13" s="18"/>
      <c r="L13" s="18"/>
      <c r="M13" s="14"/>
    </row>
    <row r="14" spans="1:13" ht="19.5" customHeight="1" x14ac:dyDescent="0.35">
      <c r="A14" s="12"/>
      <c r="B14" s="13"/>
      <c r="C14" s="12"/>
      <c r="D14" s="18"/>
      <c r="E14" s="18"/>
      <c r="F14" s="18"/>
      <c r="G14" s="18"/>
      <c r="H14" s="18"/>
      <c r="I14" s="18"/>
      <c r="J14" s="18"/>
      <c r="K14" s="18"/>
      <c r="L14" s="18"/>
      <c r="M14" s="14"/>
    </row>
    <row r="15" spans="1:13" ht="19.5" customHeight="1" x14ac:dyDescent="0.4">
      <c r="A15" s="12"/>
      <c r="B15" s="139"/>
      <c r="C15" s="76" t="s">
        <v>3</v>
      </c>
      <c r="D15" s="18"/>
      <c r="E15" s="18"/>
      <c r="F15" s="18"/>
      <c r="G15" s="18"/>
      <c r="H15" s="18"/>
      <c r="I15" s="18"/>
      <c r="J15" s="18"/>
      <c r="K15" s="18"/>
      <c r="L15" s="18"/>
      <c r="M15" s="14"/>
    </row>
    <row r="16" spans="1:13" ht="19.5" customHeight="1" x14ac:dyDescent="0.4">
      <c r="A16" s="12"/>
      <c r="B16" s="139"/>
      <c r="C16" s="76" t="s">
        <v>123</v>
      </c>
      <c r="D16" s="18"/>
      <c r="E16" s="18"/>
      <c r="F16" s="18"/>
      <c r="G16" s="18"/>
      <c r="H16" s="18"/>
      <c r="I16" s="18"/>
      <c r="J16" s="18"/>
      <c r="K16" s="18"/>
      <c r="L16" s="18"/>
      <c r="M16" s="14"/>
    </row>
    <row r="17" spans="1:13" ht="19.5" customHeight="1" x14ac:dyDescent="0.4">
      <c r="A17" s="12"/>
      <c r="B17" s="13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14"/>
    </row>
    <row r="18" spans="1:13" ht="19.5" customHeight="1" x14ac:dyDescent="0.4">
      <c r="A18" s="12"/>
      <c r="B18" s="13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14"/>
    </row>
    <row r="19" spans="1:13" ht="19.5" customHeight="1" x14ac:dyDescent="0.4">
      <c r="A19" s="12"/>
      <c r="B19" s="13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14"/>
    </row>
    <row r="20" spans="1:13" ht="19.5" customHeight="1" x14ac:dyDescent="0.4">
      <c r="A20" s="12"/>
      <c r="B20" s="13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4"/>
    </row>
    <row r="21" spans="1:13" ht="19.5" customHeight="1" x14ac:dyDescent="0.35">
      <c r="A21" s="12"/>
      <c r="B21" s="13"/>
      <c r="C21" s="20"/>
      <c r="D21" s="18"/>
      <c r="E21" s="18"/>
      <c r="F21" s="18"/>
      <c r="G21" s="18"/>
      <c r="H21" s="18"/>
      <c r="I21" s="18"/>
      <c r="J21" s="18"/>
      <c r="K21" s="18"/>
      <c r="L21" s="18"/>
      <c r="M21" s="14"/>
    </row>
    <row r="22" spans="1:13" ht="19.5" customHeight="1" x14ac:dyDescent="0.35">
      <c r="A22" s="12"/>
      <c r="B22" s="13"/>
      <c r="C22" s="20"/>
      <c r="D22" s="18"/>
      <c r="E22" s="18"/>
      <c r="F22" s="18"/>
      <c r="G22" s="18"/>
      <c r="H22" s="18"/>
      <c r="I22" s="18"/>
      <c r="J22" s="18"/>
      <c r="K22" s="18"/>
      <c r="L22" s="18"/>
      <c r="M22" s="14"/>
    </row>
    <row r="23" spans="1:13" ht="19.5" customHeight="1" x14ac:dyDescent="0.35">
      <c r="A23" s="12"/>
      <c r="B23" s="13"/>
      <c r="C23" s="20"/>
      <c r="D23" s="18"/>
      <c r="E23" s="18"/>
      <c r="F23" s="18"/>
      <c r="G23" s="18"/>
      <c r="H23" s="18"/>
      <c r="I23" s="18"/>
      <c r="J23" s="18"/>
      <c r="K23" s="18"/>
      <c r="L23" s="18"/>
      <c r="M23" s="14"/>
    </row>
    <row r="24" spans="1:13" ht="19.5" customHeight="1" x14ac:dyDescent="0.35">
      <c r="A24" s="12"/>
      <c r="B24" s="13"/>
      <c r="C24" s="20"/>
      <c r="D24" s="18"/>
      <c r="E24" s="18"/>
      <c r="F24" s="18"/>
      <c r="G24" s="18"/>
      <c r="H24" s="18"/>
      <c r="I24" s="18"/>
      <c r="J24" s="18"/>
      <c r="K24" s="18"/>
      <c r="L24" s="18"/>
      <c r="M24" s="14"/>
    </row>
    <row r="25" spans="1:13" ht="19.5" customHeight="1" x14ac:dyDescent="0.35">
      <c r="A25" s="12"/>
      <c r="B25" s="13"/>
      <c r="C25" s="20"/>
      <c r="D25" s="18"/>
      <c r="E25" s="18"/>
      <c r="F25" s="18"/>
      <c r="G25" s="18"/>
      <c r="H25" s="18"/>
      <c r="I25" s="18"/>
      <c r="J25" s="18"/>
      <c r="K25" s="18"/>
      <c r="L25" s="18"/>
      <c r="M25" s="14"/>
    </row>
    <row r="26" spans="1:13" ht="19.5" customHeight="1" x14ac:dyDescent="0.4">
      <c r="A26" s="12"/>
      <c r="B26" s="13"/>
      <c r="C26" s="21"/>
      <c r="D26" s="18"/>
      <c r="E26" s="18"/>
      <c r="F26" s="18"/>
      <c r="G26" s="18"/>
      <c r="H26" s="18"/>
      <c r="I26" s="18"/>
      <c r="J26" s="18"/>
      <c r="K26" s="18"/>
      <c r="L26" s="18"/>
      <c r="M26" s="14"/>
    </row>
    <row r="27" spans="1:13" ht="19.5" customHeight="1" x14ac:dyDescent="0.4">
      <c r="A27" s="12"/>
      <c r="B27" s="13"/>
      <c r="C27" s="21"/>
      <c r="D27" s="18"/>
      <c r="E27" s="18"/>
      <c r="F27" s="18"/>
      <c r="G27" s="18"/>
      <c r="H27" s="18"/>
      <c r="I27" s="18"/>
      <c r="J27" s="18"/>
      <c r="K27" s="18"/>
      <c r="L27" s="18"/>
      <c r="M27" s="14"/>
    </row>
    <row r="28" spans="1:13" ht="19.5" customHeight="1" x14ac:dyDescent="0.35">
      <c r="A28" s="12"/>
      <c r="B28" s="13"/>
      <c r="C28" s="22"/>
      <c r="D28" s="18"/>
      <c r="E28" s="18"/>
      <c r="F28" s="18"/>
      <c r="G28" s="18"/>
      <c r="H28" s="18"/>
      <c r="I28" s="18"/>
      <c r="J28" s="18"/>
      <c r="K28" s="18"/>
      <c r="L28" s="18"/>
      <c r="M28" s="14"/>
    </row>
    <row r="29" spans="1:13" ht="19.5" customHeight="1" x14ac:dyDescent="0.35">
      <c r="A29" s="12"/>
      <c r="B29" s="13"/>
      <c r="C29" s="23"/>
      <c r="D29" s="18"/>
      <c r="E29" s="18"/>
      <c r="F29" s="18"/>
      <c r="G29" s="18"/>
      <c r="H29" s="18"/>
      <c r="I29" s="18"/>
      <c r="J29" s="18"/>
      <c r="K29" s="18"/>
      <c r="L29" s="18"/>
      <c r="M29" s="14"/>
    </row>
    <row r="30" spans="1:13" ht="19.5" customHeight="1" x14ac:dyDescent="0.35">
      <c r="A30" s="12"/>
      <c r="B30" s="13"/>
      <c r="C30" s="23"/>
      <c r="D30" s="18"/>
      <c r="E30" s="18"/>
      <c r="F30" s="18"/>
      <c r="G30" s="18"/>
      <c r="H30" s="18"/>
      <c r="I30" s="18"/>
      <c r="J30" s="18"/>
      <c r="K30" s="18"/>
      <c r="L30" s="18"/>
      <c r="M30" s="14"/>
    </row>
    <row r="31" spans="1:13" ht="19.5" customHeight="1" x14ac:dyDescent="0.4">
      <c r="A31" s="12"/>
      <c r="B31" s="13"/>
      <c r="C31" s="77"/>
      <c r="D31" s="78"/>
      <c r="E31" s="78"/>
      <c r="F31" s="78"/>
      <c r="G31" s="78"/>
      <c r="H31" s="78"/>
      <c r="I31" s="78"/>
      <c r="J31" s="78"/>
      <c r="K31" s="78"/>
      <c r="L31" s="78"/>
      <c r="M31" s="14"/>
    </row>
    <row r="32" spans="1:13" ht="19.5" customHeight="1" x14ac:dyDescent="0.35">
      <c r="A32" s="12"/>
      <c r="B32" s="13"/>
      <c r="C32" s="79"/>
      <c r="D32" s="80"/>
      <c r="E32" s="80"/>
      <c r="F32" s="80"/>
      <c r="G32" s="80"/>
      <c r="H32" s="80"/>
      <c r="I32" s="80"/>
      <c r="J32" s="80"/>
      <c r="K32" s="80"/>
      <c r="L32" s="80"/>
      <c r="M32" s="14"/>
    </row>
    <row r="33" spans="1:13" ht="19.5" customHeight="1" x14ac:dyDescent="0.35">
      <c r="A33" s="12"/>
      <c r="B33" s="13"/>
      <c r="C33" s="79"/>
      <c r="D33" s="80"/>
      <c r="E33" s="80"/>
      <c r="F33" s="80"/>
      <c r="G33" s="80"/>
      <c r="H33" s="80"/>
      <c r="I33" s="80"/>
      <c r="J33" s="80"/>
      <c r="K33" s="80"/>
      <c r="L33" s="80"/>
      <c r="M33" s="14"/>
    </row>
    <row r="34" spans="1:13" ht="19.5" customHeight="1" x14ac:dyDescent="0.35">
      <c r="A34" s="12"/>
      <c r="B34" s="13"/>
      <c r="C34" s="79"/>
      <c r="D34" s="80"/>
      <c r="E34" s="80"/>
      <c r="F34" s="80"/>
      <c r="G34" s="80"/>
      <c r="H34" s="80"/>
      <c r="I34" s="80"/>
      <c r="J34" s="80"/>
      <c r="K34" s="80"/>
      <c r="L34" s="80"/>
      <c r="M34" s="14"/>
    </row>
    <row r="35" spans="1:13" ht="19.5" customHeight="1" x14ac:dyDescent="0.35">
      <c r="A35" s="12"/>
      <c r="B35" s="13"/>
      <c r="C35" s="79"/>
      <c r="D35" s="80"/>
      <c r="E35" s="80"/>
      <c r="F35" s="80"/>
      <c r="G35" s="80"/>
      <c r="H35" s="80"/>
      <c r="I35" s="80"/>
      <c r="J35" s="80"/>
      <c r="K35" s="80"/>
      <c r="L35" s="80"/>
      <c r="M35" s="14"/>
    </row>
    <row r="36" spans="1:13" ht="19.5" customHeight="1" x14ac:dyDescent="0.35">
      <c r="A36" s="12"/>
      <c r="B36" s="13"/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14"/>
    </row>
    <row r="37" spans="1:13" ht="19.5" customHeight="1" x14ac:dyDescent="0.35">
      <c r="A37" s="12"/>
      <c r="B37" s="13"/>
      <c r="C37" s="79"/>
      <c r="D37" s="80"/>
      <c r="E37" s="80"/>
      <c r="F37" s="80"/>
      <c r="G37" s="80"/>
      <c r="H37" s="80"/>
      <c r="I37" s="80"/>
      <c r="J37" s="80"/>
      <c r="K37" s="80"/>
      <c r="L37" s="80"/>
      <c r="M37" s="14"/>
    </row>
    <row r="38" spans="1:13" ht="19.5" customHeight="1" x14ac:dyDescent="0.35">
      <c r="A38" s="12"/>
      <c r="B38" s="13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14"/>
    </row>
    <row r="39" spans="1:13" ht="19.5" customHeight="1" thickBot="1" x14ac:dyDescent="0.4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6" t="s">
        <v>44</v>
      </c>
    </row>
    <row r="40" spans="1:13" ht="19.5" customHeight="1" thickTop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</sheetData>
  <hyperlinks>
    <hyperlink ref="C15" location="'DCF Model'!A1" tooltip="DCF Model" display="DCF Model" xr:uid="{75921352-598F-4990-964D-713A5C3E70C0}"/>
    <hyperlink ref="C16" location="' 3-Statement Model'!A1" display="3-Statement Model " xr:uid="{70A499D2-CFC9-47F4-ADDA-FBB463AC557C}"/>
  </hyperlinks>
  <pageMargins left="0.7" right="0.7" top="0.75" bottom="0.75" header="0.3" footer="0.3"/>
  <pageSetup scale="6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48"/>
  <sheetViews>
    <sheetView showGridLines="0" zoomScale="93" zoomScaleNormal="100" workbookViewId="0"/>
  </sheetViews>
  <sheetFormatPr defaultColWidth="9.109375" defaultRowHeight="15.6" customHeight="1" x14ac:dyDescent="0.35"/>
  <cols>
    <col min="1" max="1" width="3.5546875" style="1" customWidth="1"/>
    <col min="2" max="2" width="12.6640625" style="1" customWidth="1"/>
    <col min="3" max="3" width="12.44140625" style="1" customWidth="1"/>
    <col min="4" max="4" width="11.33203125" style="3" customWidth="1"/>
    <col min="5" max="9" width="11.5546875" style="1" customWidth="1"/>
    <col min="10" max="14" width="12.5546875" style="1" customWidth="1"/>
    <col min="15" max="16384" width="9.109375" style="1"/>
  </cols>
  <sheetData>
    <row r="1" spans="2:14" s="27" customFormat="1" ht="55.05" customHeight="1" x14ac:dyDescent="0.4">
      <c r="B1" s="135" t="s">
        <v>121</v>
      </c>
      <c r="C1" s="64"/>
      <c r="D1" s="64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spans="2:14" s="27" customFormat="1" ht="21" x14ac:dyDescent="0.35">
      <c r="B3" s="67" t="s">
        <v>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15.6" customHeight="1" x14ac:dyDescent="0.35">
      <c r="B4" s="2"/>
      <c r="E4" s="4"/>
      <c r="F4" s="4"/>
      <c r="G4" s="4"/>
      <c r="H4" s="4"/>
      <c r="I4" s="4"/>
    </row>
    <row r="5" spans="2:14" ht="15.6" customHeight="1" thickBot="1" x14ac:dyDescent="0.4">
      <c r="B5" s="50" t="s">
        <v>2</v>
      </c>
      <c r="C5" s="51"/>
      <c r="D5" s="51"/>
      <c r="E5" s="4"/>
    </row>
    <row r="6" spans="2:14" ht="15.6" customHeight="1" x14ac:dyDescent="0.35">
      <c r="B6" s="10" t="s">
        <v>10</v>
      </c>
      <c r="C6" s="8"/>
      <c r="D6" s="31">
        <f>' 3-Statement Model'!$M$14</f>
        <v>0.16806955013145408</v>
      </c>
      <c r="E6" s="4"/>
    </row>
    <row r="7" spans="2:14" ht="15.6" customHeight="1" x14ac:dyDescent="0.35">
      <c r="B7" s="5" t="s">
        <v>11</v>
      </c>
      <c r="D7" s="137">
        <v>0.09</v>
      </c>
    </row>
    <row r="8" spans="2:14" ht="15.6" customHeight="1" x14ac:dyDescent="0.35">
      <c r="B8" s="1" t="s">
        <v>12</v>
      </c>
      <c r="D8" s="32">
        <v>2.5000000000000001E-2</v>
      </c>
    </row>
    <row r="9" spans="2:14" ht="15.6" customHeight="1" x14ac:dyDescent="0.35">
      <c r="B9" s="1" t="s">
        <v>13</v>
      </c>
      <c r="D9" s="33" t="s">
        <v>120</v>
      </c>
    </row>
    <row r="10" spans="2:14" ht="15.6" customHeight="1" x14ac:dyDescent="0.35">
      <c r="B10" s="1" t="s">
        <v>18</v>
      </c>
      <c r="D10" s="34">
        <v>45838</v>
      </c>
    </row>
    <row r="11" spans="2:14" ht="15.6" customHeight="1" x14ac:dyDescent="0.35">
      <c r="B11" s="1" t="s">
        <v>38</v>
      </c>
      <c r="D11" s="35">
        <v>45838</v>
      </c>
    </row>
    <row r="12" spans="2:14" ht="15.6" customHeight="1" x14ac:dyDescent="0.35">
      <c r="B12" s="1" t="s">
        <v>24</v>
      </c>
      <c r="D12" s="134">
        <v>384.41</v>
      </c>
    </row>
    <row r="13" spans="2:14" ht="15.6" customHeight="1" x14ac:dyDescent="0.35">
      <c r="B13" s="1" t="s">
        <v>20</v>
      </c>
      <c r="D13" s="36">
        <v>7465</v>
      </c>
    </row>
    <row r="14" spans="2:14" ht="15.6" customHeight="1" x14ac:dyDescent="0.35">
      <c r="B14" s="1" t="s">
        <v>1</v>
      </c>
      <c r="D14" s="36">
        <f>' 3-Statement Model'!H51</f>
        <v>60588</v>
      </c>
    </row>
    <row r="15" spans="2:14" ht="15.6" customHeight="1" x14ac:dyDescent="0.35">
      <c r="B15" s="1" t="s">
        <v>0</v>
      </c>
      <c r="D15" s="36">
        <f>' 3-Statement Model'!H43</f>
        <v>30242</v>
      </c>
    </row>
    <row r="16" spans="2:14" ht="15.6" customHeight="1" x14ac:dyDescent="0.35">
      <c r="B16" s="1" t="s">
        <v>37</v>
      </c>
      <c r="D16" s="37">
        <f>' 3-Statement Model'!M18</f>
        <v>-40255.25</v>
      </c>
    </row>
    <row r="17" spans="2:14" ht="15.6" customHeight="1" x14ac:dyDescent="0.35">
      <c r="D17" s="6"/>
      <c r="E17" s="7"/>
      <c r="F17" s="7"/>
      <c r="G17" s="7"/>
      <c r="H17" s="7"/>
      <c r="I17" s="7"/>
      <c r="J17" s="7"/>
    </row>
    <row r="18" spans="2:14" ht="15.6" customHeight="1" thickBot="1" x14ac:dyDescent="0.4">
      <c r="B18" s="52" t="s">
        <v>19</v>
      </c>
      <c r="C18" s="53"/>
      <c r="D18" s="60" t="s">
        <v>21</v>
      </c>
      <c r="E18" s="58">
        <f>2026</f>
        <v>2026</v>
      </c>
      <c r="F18" s="58">
        <f>E18+1</f>
        <v>2027</v>
      </c>
      <c r="G18" s="58">
        <f t="shared" ref="G18:I18" si="0">F18+1</f>
        <v>2028</v>
      </c>
      <c r="H18" s="58">
        <f t="shared" si="0"/>
        <v>2029</v>
      </c>
      <c r="I18" s="58">
        <f t="shared" si="0"/>
        <v>2030</v>
      </c>
      <c r="J18" s="59" t="s">
        <v>22</v>
      </c>
    </row>
    <row r="19" spans="2:14" ht="15.6" customHeight="1" thickBot="1" x14ac:dyDescent="0.4">
      <c r="B19" s="7" t="s">
        <v>23</v>
      </c>
      <c r="C19" s="7"/>
      <c r="D19" s="38">
        <v>45838</v>
      </c>
      <c r="E19" s="57">
        <f>D19+365</f>
        <v>46203</v>
      </c>
      <c r="F19" s="57">
        <f t="shared" ref="F19" si="1">E19+365</f>
        <v>46568</v>
      </c>
      <c r="G19" s="57">
        <f>F19+366</f>
        <v>46934</v>
      </c>
      <c r="H19" s="57">
        <f>G19+365</f>
        <v>47299</v>
      </c>
      <c r="I19" s="57">
        <f>H19+365</f>
        <v>47664</v>
      </c>
      <c r="J19" s="38">
        <f>I19</f>
        <v>47664</v>
      </c>
      <c r="L19" s="54" t="s">
        <v>9</v>
      </c>
      <c r="M19" s="55"/>
      <c r="N19" s="55"/>
    </row>
    <row r="20" spans="2:14" ht="15.6" customHeight="1" x14ac:dyDescent="0.35">
      <c r="B20" s="1" t="s">
        <v>4</v>
      </c>
      <c r="D20" s="1" t="s">
        <v>50</v>
      </c>
      <c r="E20" s="42">
        <f>' 3-Statement Model'!I34</f>
        <v>140028.12592786807</v>
      </c>
      <c r="F20" s="42">
        <f>' 3-Statement Model'!J34</f>
        <v>157524.24248985498</v>
      </c>
      <c r="G20" s="42">
        <f>' 3-Statement Model'!K34</f>
        <v>177206.44911569319</v>
      </c>
      <c r="H20" s="42">
        <f>' 3-Statement Model'!L34</f>
        <v>199347.891548916</v>
      </c>
      <c r="I20" s="42">
        <f>' 3-Statement Model'!M34</f>
        <v>224255.84431779635</v>
      </c>
      <c r="J20" s="1" t="s">
        <v>50</v>
      </c>
      <c r="L20" s="7" t="s">
        <v>122</v>
      </c>
      <c r="M20" s="7"/>
      <c r="N20" s="39">
        <f>((I25)*(1+$D$8)/($D$7-$D$8))</f>
        <v>2751771.4135130616</v>
      </c>
    </row>
    <row r="21" spans="2:14" ht="15.6" customHeight="1" x14ac:dyDescent="0.35">
      <c r="B21" s="1" t="s">
        <v>5</v>
      </c>
      <c r="D21" s="1" t="s">
        <v>50</v>
      </c>
      <c r="E21" s="40">
        <f>E20*$D$6</f>
        <v>23534.464130447388</v>
      </c>
      <c r="F21" s="40">
        <f t="shared" ref="F21:G21" si="2">F20*$D$6</f>
        <v>26475.028570068011</v>
      </c>
      <c r="G21" s="40">
        <f t="shared" si="2"/>
        <v>29783.008183266964</v>
      </c>
      <c r="H21" s="40">
        <f>H20*$D$6</f>
        <v>33504.31045228021</v>
      </c>
      <c r="I21" s="40">
        <f>I20*$D$6</f>
        <v>37690.578868841432</v>
      </c>
      <c r="J21" s="1" t="s">
        <v>50</v>
      </c>
      <c r="L21" s="1" t="s">
        <v>17</v>
      </c>
      <c r="N21" s="56">
        <f>AVERAGE(N20,N22)</f>
        <v>3995349.9386229087</v>
      </c>
    </row>
    <row r="22" spans="2:14" ht="15.6" customHeight="1" x14ac:dyDescent="0.35">
      <c r="B22" s="1" t="s">
        <v>8</v>
      </c>
      <c r="D22" s="1" t="s">
        <v>50</v>
      </c>
      <c r="E22" s="43">
        <f>' 3-Statement Model'!I66</f>
        <v>33550.678535999738</v>
      </c>
      <c r="F22" s="43">
        <f>' 3-Statement Model'!J66</f>
        <v>34529.589284165711</v>
      </c>
      <c r="G22" s="43">
        <f>' 3-Statement Model'!K66</f>
        <v>35365.572738914016</v>
      </c>
      <c r="H22" s="43">
        <f>' 3-Statement Model'!L66</f>
        <v>36079.49720845557</v>
      </c>
      <c r="I22" s="43">
        <f>' 3-Statement Model'!M66</f>
        <v>36689.184093184216</v>
      </c>
      <c r="J22" s="1" t="s">
        <v>50</v>
      </c>
      <c r="L22" s="1" t="s">
        <v>16</v>
      </c>
      <c r="N22" s="136">
        <f>((I20+I21)*20)</f>
        <v>5238928.4637327557</v>
      </c>
    </row>
    <row r="23" spans="2:14" ht="15.6" customHeight="1" x14ac:dyDescent="0.35">
      <c r="B23" s="1" t="s">
        <v>6</v>
      </c>
      <c r="D23" s="1" t="s">
        <v>50</v>
      </c>
      <c r="E23" s="44">
        <f>ABS(' 3-Statement Model'!I72)</f>
        <v>40255.25</v>
      </c>
      <c r="F23" s="44">
        <f>ABS(' 3-Statement Model'!J72)</f>
        <v>40255.25</v>
      </c>
      <c r="G23" s="44">
        <f>ABS(' 3-Statement Model'!K72)</f>
        <v>40255.25</v>
      </c>
      <c r="H23" s="44">
        <f>ABS(' 3-Statement Model'!L72)</f>
        <v>40255.25</v>
      </c>
      <c r="I23" s="44">
        <f>ABS(' 3-Statement Model'!M72)</f>
        <v>40255.25</v>
      </c>
      <c r="J23" s="1" t="s">
        <v>50</v>
      </c>
    </row>
    <row r="24" spans="2:14" ht="15.6" customHeight="1" x14ac:dyDescent="0.35">
      <c r="B24" s="1" t="s">
        <v>7</v>
      </c>
      <c r="D24" s="1" t="s">
        <v>50</v>
      </c>
      <c r="E24" s="37">
        <f>' 3-Statement Model'!I92</f>
        <v>4647.5137877337111</v>
      </c>
      <c r="F24" s="37">
        <f>' 3-Statement Model'!J92</f>
        <v>5968.2902092144723</v>
      </c>
      <c r="G24" s="37">
        <f>' 3-Statement Model'!K92</f>
        <v>6714.0111169553056</v>
      </c>
      <c r="H24" s="37">
        <f>' 3-Statement Model'!L92</f>
        <v>7552.9077337766939</v>
      </c>
      <c r="I24" s="37">
        <f>' 3-Statement Model'!M92</f>
        <v>8496.6220998474164</v>
      </c>
      <c r="J24" s="1" t="s">
        <v>50</v>
      </c>
    </row>
    <row r="25" spans="2:14" ht="15.6" customHeight="1" x14ac:dyDescent="0.35">
      <c r="B25" s="1" t="s">
        <v>14</v>
      </c>
      <c r="D25" s="1" t="s">
        <v>50</v>
      </c>
      <c r="E25" s="41">
        <f>((E20)-(E21)+(E22)-(E23)-(E24))</f>
        <v>105141.57654568669</v>
      </c>
      <c r="F25" s="41">
        <f t="shared" ref="F25:H25" si="3">((F20)-(F21)+(F22)-(F23)-(F24))</f>
        <v>119355.26299473821</v>
      </c>
      <c r="G25" s="41">
        <f t="shared" si="3"/>
        <v>135819.75255438493</v>
      </c>
      <c r="H25" s="41">
        <f t="shared" si="3"/>
        <v>154114.92057131467</v>
      </c>
      <c r="I25" s="41">
        <f>((I20)-(I21)+(I22)-(I23)-(I24))</f>
        <v>174502.57744229172</v>
      </c>
      <c r="J25" s="1" t="s">
        <v>50</v>
      </c>
    </row>
    <row r="26" spans="2:14" ht="15.6" customHeight="1" x14ac:dyDescent="0.35">
      <c r="B26" s="1" t="s">
        <v>15</v>
      </c>
      <c r="D26" s="45">
        <f>-I34</f>
        <v>-2899966.6500000004</v>
      </c>
      <c r="J26" s="45">
        <f>N21</f>
        <v>3995349.9386229087</v>
      </c>
    </row>
    <row r="27" spans="2:14" ht="15.6" customHeight="1" x14ac:dyDescent="0.35">
      <c r="B27" s="1" t="s">
        <v>39</v>
      </c>
      <c r="D27" s="46">
        <f>D26</f>
        <v>-2899966.6500000004</v>
      </c>
      <c r="E27" s="41">
        <f>E25</f>
        <v>105141.57654568669</v>
      </c>
      <c r="F27" s="41">
        <f t="shared" ref="F27:H27" si="4">F25</f>
        <v>119355.26299473821</v>
      </c>
      <c r="G27" s="41">
        <f t="shared" si="4"/>
        <v>135819.75255438493</v>
      </c>
      <c r="H27" s="41">
        <f t="shared" si="4"/>
        <v>154114.92057131467</v>
      </c>
      <c r="I27" s="41">
        <f>I25</f>
        <v>174502.57744229172</v>
      </c>
      <c r="J27" s="41">
        <f>I27+J26</f>
        <v>4169852.5160652003</v>
      </c>
    </row>
    <row r="28" spans="2:14" ht="15.6" customHeight="1" x14ac:dyDescent="0.35">
      <c r="D28" s="39"/>
      <c r="E28" s="39"/>
      <c r="F28" s="39"/>
      <c r="G28" s="39"/>
      <c r="H28" s="39"/>
      <c r="I28" s="39"/>
      <c r="J28" s="39"/>
    </row>
    <row r="30" spans="2:14" ht="15.6" customHeight="1" thickBot="1" x14ac:dyDescent="0.4">
      <c r="B30" s="54" t="s">
        <v>33</v>
      </c>
      <c r="C30" s="55"/>
      <c r="D30" s="55"/>
      <c r="G30" s="54" t="s">
        <v>34</v>
      </c>
      <c r="H30" s="55"/>
      <c r="I30" s="55"/>
      <c r="L30" s="54" t="s">
        <v>35</v>
      </c>
      <c r="M30" s="55"/>
      <c r="N30" s="55"/>
    </row>
    <row r="31" spans="2:14" ht="15.6" customHeight="1" x14ac:dyDescent="0.35">
      <c r="B31" s="7" t="s">
        <v>28</v>
      </c>
      <c r="C31" s="7"/>
      <c r="D31" s="39">
        <f>E25/(1+$D$7)^1+F25/(1+$D$7)^2+G25/(1+$D$7)^3+H25/(1+$D$7)^4+I25/(1+$D$7)^5+J26/(1+$D$7)^5</f>
        <v>3121093.7896706657</v>
      </c>
      <c r="G31" s="7" t="s">
        <v>25</v>
      </c>
      <c r="H31" s="7"/>
      <c r="I31" s="39">
        <f>D13*D12</f>
        <v>2869620.6500000004</v>
      </c>
      <c r="L31" s="7" t="s">
        <v>36</v>
      </c>
      <c r="M31" s="7"/>
      <c r="N31" s="47">
        <f>(N37/N35-1)</f>
        <v>7.7057969202537491E-2</v>
      </c>
    </row>
    <row r="32" spans="2:14" ht="15.6" customHeight="1" x14ac:dyDescent="0.35">
      <c r="B32" s="1" t="s">
        <v>29</v>
      </c>
      <c r="D32" s="44">
        <f>+D15</f>
        <v>30242</v>
      </c>
      <c r="G32" s="1" t="s">
        <v>26</v>
      </c>
      <c r="I32" s="44">
        <f>D14</f>
        <v>60588</v>
      </c>
      <c r="L32" s="1" t="s">
        <v>43</v>
      </c>
      <c r="N32" s="48">
        <f>IRR(D27:J27)</f>
        <v>9.7473145947013506E-2</v>
      </c>
    </row>
    <row r="33" spans="2:14" ht="15.6" customHeight="1" x14ac:dyDescent="0.35">
      <c r="B33" s="1" t="s">
        <v>30</v>
      </c>
      <c r="D33" s="44">
        <f>+D14</f>
        <v>60588</v>
      </c>
      <c r="G33" s="1" t="s">
        <v>27</v>
      </c>
      <c r="I33" s="44">
        <f>+D15</f>
        <v>30242</v>
      </c>
    </row>
    <row r="34" spans="2:14" ht="15.6" customHeight="1" thickBot="1" x14ac:dyDescent="0.4">
      <c r="B34" s="1" t="s">
        <v>31</v>
      </c>
      <c r="D34" s="41">
        <f>D31+D32-D33</f>
        <v>3090747.7896706657</v>
      </c>
      <c r="G34" s="1" t="s">
        <v>28</v>
      </c>
      <c r="I34" s="41">
        <f>I31+I32-I33</f>
        <v>2899966.6500000004</v>
      </c>
      <c r="L34" s="54" t="s">
        <v>41</v>
      </c>
      <c r="M34" s="55"/>
      <c r="N34" s="55"/>
    </row>
    <row r="35" spans="2:14" ht="15.6" customHeight="1" x14ac:dyDescent="0.35">
      <c r="D35" s="1"/>
      <c r="I35" s="9"/>
      <c r="L35" s="1" t="s">
        <v>34</v>
      </c>
      <c r="N35" s="49">
        <f>I36</f>
        <v>384.41</v>
      </c>
    </row>
    <row r="36" spans="2:14" ht="15.6" customHeight="1" x14ac:dyDescent="0.35">
      <c r="B36" s="1" t="s">
        <v>32</v>
      </c>
      <c r="D36" s="49">
        <f>D34/D13</f>
        <v>414.03185394114746</v>
      </c>
      <c r="G36" s="1" t="s">
        <v>32</v>
      </c>
      <c r="I36" s="49">
        <f>D12</f>
        <v>384.41</v>
      </c>
      <c r="L36" s="1" t="s">
        <v>42</v>
      </c>
      <c r="N36" s="138">
        <f>N37/N35-1</f>
        <v>7.7057969202537491E-2</v>
      </c>
    </row>
    <row r="37" spans="2:14" ht="15.6" customHeight="1" x14ac:dyDescent="0.35">
      <c r="D37" s="1"/>
      <c r="L37" s="1" t="s">
        <v>33</v>
      </c>
      <c r="N37" s="49">
        <f>D36</f>
        <v>414.03185394114746</v>
      </c>
    </row>
    <row r="38" spans="2:14" ht="15.6" customHeight="1" x14ac:dyDescent="0.35">
      <c r="I38" s="2"/>
    </row>
    <row r="39" spans="2:14" ht="15.6" customHeight="1" x14ac:dyDescent="0.35">
      <c r="H39" s="2"/>
    </row>
    <row r="40" spans="2:14" ht="15.6" customHeight="1" thickBot="1" x14ac:dyDescent="0.4">
      <c r="B40" s="54"/>
      <c r="C40" s="55"/>
      <c r="D40" s="63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2:14" ht="15.6" customHeight="1" x14ac:dyDescent="0.35">
      <c r="B41" s="7"/>
      <c r="C41" s="7"/>
      <c r="D41" s="61"/>
      <c r="E41" s="7"/>
      <c r="F41" s="7"/>
      <c r="G41" s="7"/>
      <c r="H41" s="7"/>
      <c r="I41" s="7"/>
      <c r="J41" s="7"/>
      <c r="K41" s="7"/>
      <c r="L41" s="7"/>
      <c r="M41" s="7"/>
      <c r="N41" s="62"/>
    </row>
    <row r="42" spans="2:14" ht="15.6" customHeight="1" x14ac:dyDescent="0.35">
      <c r="N42" s="28"/>
    </row>
    <row r="43" spans="2:14" ht="15.6" customHeight="1" x14ac:dyDescent="0.35">
      <c r="B43" s="11"/>
      <c r="N43" s="28"/>
    </row>
    <row r="44" spans="2:14" ht="15.6" customHeight="1" x14ac:dyDescent="0.35">
      <c r="B44" s="11"/>
      <c r="N44" s="28"/>
    </row>
    <row r="45" spans="2:14" ht="15.6" customHeight="1" x14ac:dyDescent="0.35">
      <c r="B45" s="11"/>
      <c r="N45" s="28"/>
    </row>
    <row r="46" spans="2:14" ht="15.6" customHeight="1" x14ac:dyDescent="0.35">
      <c r="N46" s="28"/>
    </row>
    <row r="47" spans="2:14" ht="15.6" customHeight="1" x14ac:dyDescent="0.35">
      <c r="N47" s="29"/>
    </row>
    <row r="48" spans="2:14" ht="15.6" customHeight="1" x14ac:dyDescent="0.35">
      <c r="N48" s="30"/>
    </row>
  </sheetData>
  <pageMargins left="0.70866141732283472" right="0.70866141732283472" top="0.74803149606299213" bottom="0.74803149606299213" header="0.31496062992125984" footer="0.31496062992125984"/>
  <pageSetup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2149-545F-4236-9226-DD4DCC9ACC1B}">
  <dimension ref="A1:M115"/>
  <sheetViews>
    <sheetView workbookViewId="0"/>
  </sheetViews>
  <sheetFormatPr defaultRowHeight="14.4" x14ac:dyDescent="0.3"/>
  <cols>
    <col min="1" max="1" width="35.5546875" bestFit="1" customWidth="1"/>
    <col min="4" max="4" width="16.6640625" bestFit="1" customWidth="1"/>
    <col min="5" max="8" width="8.6640625" bestFit="1" customWidth="1"/>
    <col min="9" max="9" width="15.77734375" bestFit="1" customWidth="1"/>
    <col min="10" max="12" width="8.6640625" bestFit="1" customWidth="1"/>
    <col min="13" max="13" width="10.21875" bestFit="1" customWidth="1"/>
  </cols>
  <sheetData>
    <row r="1" spans="1:13" ht="15.6" x14ac:dyDescent="0.3">
      <c r="A1" s="81"/>
      <c r="B1" s="82"/>
      <c r="C1" s="83"/>
      <c r="D1" s="130" t="s">
        <v>45</v>
      </c>
      <c r="E1" s="131"/>
      <c r="F1" s="131"/>
      <c r="G1" s="131"/>
      <c r="H1" s="131"/>
      <c r="I1" s="132" t="s">
        <v>46</v>
      </c>
      <c r="J1" s="133"/>
      <c r="K1" s="133"/>
      <c r="L1" s="133"/>
      <c r="M1" s="133"/>
    </row>
    <row r="2" spans="1:13" ht="18" customHeight="1" x14ac:dyDescent="0.35">
      <c r="A2" s="84" t="s">
        <v>47</v>
      </c>
      <c r="B2" s="85"/>
      <c r="C2" s="86"/>
      <c r="D2" s="87">
        <v>2021</v>
      </c>
      <c r="E2" s="87">
        <f>+D2+1</f>
        <v>2022</v>
      </c>
      <c r="F2" s="87">
        <f>+E2+1</f>
        <v>2023</v>
      </c>
      <c r="G2" s="87">
        <f t="shared" ref="G2:M2" si="0">+F2+1</f>
        <v>2024</v>
      </c>
      <c r="H2" s="87">
        <f>+G2+1</f>
        <v>2025</v>
      </c>
      <c r="I2" s="88">
        <f t="shared" si="0"/>
        <v>2026</v>
      </c>
      <c r="J2" s="89">
        <f t="shared" si="0"/>
        <v>2027</v>
      </c>
      <c r="K2" s="89">
        <f t="shared" si="0"/>
        <v>2028</v>
      </c>
      <c r="L2" s="89">
        <f t="shared" si="0"/>
        <v>2029</v>
      </c>
      <c r="M2" s="89">
        <f t="shared" si="0"/>
        <v>2030</v>
      </c>
    </row>
    <row r="3" spans="1:13" x14ac:dyDescent="0.3">
      <c r="A3" s="90"/>
      <c r="B3" s="90"/>
      <c r="C3" s="91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3" ht="15.6" x14ac:dyDescent="0.3">
      <c r="A4" s="93"/>
      <c r="B4" s="93"/>
      <c r="C4" s="94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ht="18" x14ac:dyDescent="0.3">
      <c r="A5" s="95" t="s">
        <v>2</v>
      </c>
      <c r="B5" s="96"/>
      <c r="C5" s="96"/>
      <c r="D5" s="96"/>
      <c r="E5" s="97"/>
      <c r="F5" s="96"/>
      <c r="G5" s="96"/>
      <c r="H5" s="96"/>
      <c r="I5" s="96"/>
      <c r="J5" s="96"/>
      <c r="K5" s="96"/>
      <c r="L5" s="96"/>
      <c r="M5" s="96"/>
    </row>
    <row r="6" spans="1:13" ht="15.6" x14ac:dyDescent="0.3">
      <c r="A6" s="93"/>
      <c r="B6" s="93"/>
      <c r="C6" s="94"/>
      <c r="D6" s="93"/>
      <c r="E6" s="93"/>
      <c r="F6" s="93"/>
      <c r="G6" s="93"/>
      <c r="H6" s="93"/>
      <c r="I6" s="98"/>
      <c r="J6" s="98"/>
      <c r="K6" s="98"/>
      <c r="L6" s="98"/>
      <c r="M6" s="98"/>
    </row>
    <row r="7" spans="1:13" ht="15.6" x14ac:dyDescent="0.3">
      <c r="A7" s="99" t="s">
        <v>48</v>
      </c>
      <c r="B7" s="93"/>
      <c r="C7" s="94"/>
      <c r="D7" s="100"/>
      <c r="E7" s="93"/>
      <c r="F7" s="93"/>
      <c r="G7" s="93"/>
      <c r="H7" s="93"/>
      <c r="I7" s="98"/>
      <c r="J7" s="98"/>
      <c r="K7" s="98"/>
      <c r="L7" s="98"/>
      <c r="M7" s="98"/>
    </row>
    <row r="8" spans="1:13" ht="15.6" x14ac:dyDescent="0.3">
      <c r="A8" s="101" t="s">
        <v>49</v>
      </c>
      <c r="B8" s="102"/>
      <c r="C8" s="103"/>
      <c r="D8" s="104" t="s">
        <v>50</v>
      </c>
      <c r="E8" s="105" t="s">
        <v>50</v>
      </c>
      <c r="F8" s="105">
        <f t="shared" ref="F8:H8" si="1">(F26/E26)-1</f>
        <v>6.8820295556564215E-2</v>
      </c>
      <c r="G8" s="105">
        <f t="shared" si="1"/>
        <v>0.1566996201307127</v>
      </c>
      <c r="H8" s="105">
        <f t="shared" si="1"/>
        <v>0.14932156232406713</v>
      </c>
      <c r="I8" s="106">
        <f>AVERAGE($F$8:$H$8)</f>
        <v>0.12494715933711469</v>
      </c>
      <c r="J8" s="106">
        <f t="shared" ref="J8:L8" si="2">AVERAGE($F$8:$H$8)</f>
        <v>0.12494715933711469</v>
      </c>
      <c r="K8" s="106">
        <f t="shared" si="2"/>
        <v>0.12494715933711469</v>
      </c>
      <c r="L8" s="106">
        <f t="shared" si="2"/>
        <v>0.12494715933711469</v>
      </c>
      <c r="M8" s="106">
        <f>AVERAGE($F$8:$H$8)</f>
        <v>0.12494715933711469</v>
      </c>
    </row>
    <row r="9" spans="1:13" ht="15.6" x14ac:dyDescent="0.3">
      <c r="A9" s="93" t="s">
        <v>51</v>
      </c>
      <c r="B9" s="93"/>
      <c r="C9" s="94"/>
      <c r="D9" s="104" t="s">
        <v>50</v>
      </c>
      <c r="E9" s="107">
        <f>E27/E26</f>
        <v>0.31598325515710901</v>
      </c>
      <c r="F9" s="107">
        <f t="shared" ref="F9:G9" si="3">F27/F26</f>
        <v>0.31079914116508978</v>
      </c>
      <c r="G9" s="107">
        <f t="shared" si="3"/>
        <v>0.30235556172028621</v>
      </c>
      <c r="H9" s="107">
        <f>H27/H26</f>
        <v>0.31176257613834818</v>
      </c>
      <c r="I9" s="108">
        <f>AVERAGE($E$9:$H$9)</f>
        <v>0.31022513354520831</v>
      </c>
      <c r="J9" s="108">
        <f t="shared" ref="J9:M9" si="4">AVERAGE($E$9:$H$9)</f>
        <v>0.31022513354520831</v>
      </c>
      <c r="K9" s="108">
        <f>AVERAGE($E$9:$H$9)</f>
        <v>0.31022513354520831</v>
      </c>
      <c r="L9" s="108">
        <f t="shared" si="4"/>
        <v>0.31022513354520831</v>
      </c>
      <c r="M9" s="108">
        <f t="shared" si="4"/>
        <v>0.31022513354520831</v>
      </c>
    </row>
    <row r="10" spans="1:13" ht="15.6" x14ac:dyDescent="0.3">
      <c r="A10" s="93" t="s">
        <v>52</v>
      </c>
      <c r="B10" s="93"/>
      <c r="C10" s="94"/>
      <c r="D10" s="104" t="s">
        <v>50</v>
      </c>
      <c r="E10" s="104">
        <f>E31/E26</f>
        <v>0.13983456902204064</v>
      </c>
      <c r="F10" s="104">
        <f t="shared" ref="F10:H10" si="5">F31/F26</f>
        <v>0.14314229761932851</v>
      </c>
      <c r="G10" s="104">
        <f t="shared" si="5"/>
        <v>0.13081241177862452</v>
      </c>
      <c r="H10" s="104">
        <f t="shared" si="5"/>
        <v>0.11669932274140649</v>
      </c>
      <c r="I10" s="104">
        <f>AVERAGE($E$10:$H$10)</f>
        <v>0.13262215029035002</v>
      </c>
      <c r="J10" s="104">
        <f t="shared" ref="J10:M10" si="6">AVERAGE($E$10:$H$10)</f>
        <v>0.13262215029035002</v>
      </c>
      <c r="K10" s="104">
        <f t="shared" si="6"/>
        <v>0.13262215029035002</v>
      </c>
      <c r="L10" s="104">
        <f t="shared" si="6"/>
        <v>0.13262215029035002</v>
      </c>
      <c r="M10" s="104">
        <f t="shared" si="6"/>
        <v>0.13262215029035002</v>
      </c>
    </row>
    <row r="11" spans="1:13" ht="15.6" x14ac:dyDescent="0.3">
      <c r="A11" s="93" t="s">
        <v>53</v>
      </c>
      <c r="B11" s="93"/>
      <c r="C11" s="94"/>
      <c r="D11" s="104" t="s">
        <v>50</v>
      </c>
      <c r="E11" s="109">
        <v>0</v>
      </c>
      <c r="F11" s="109">
        <v>0</v>
      </c>
      <c r="G11" s="109">
        <v>0</v>
      </c>
      <c r="H11" s="109">
        <v>0</v>
      </c>
      <c r="I11" s="104">
        <f>H11</f>
        <v>0</v>
      </c>
      <c r="J11" s="104">
        <f t="shared" ref="J11:M11" si="7">I11</f>
        <v>0</v>
      </c>
      <c r="K11" s="104">
        <f t="shared" si="7"/>
        <v>0</v>
      </c>
      <c r="L11" s="104">
        <f t="shared" si="7"/>
        <v>0</v>
      </c>
      <c r="M11" s="104">
        <f t="shared" si="7"/>
        <v>0</v>
      </c>
    </row>
    <row r="12" spans="1:13" ht="15.6" x14ac:dyDescent="0.3">
      <c r="A12" s="93" t="s">
        <v>54</v>
      </c>
      <c r="B12" s="93"/>
      <c r="C12" s="94"/>
      <c r="D12" s="104" t="s">
        <v>50</v>
      </c>
      <c r="E12" s="104">
        <f>E66/E46</f>
        <v>0.16517031046535535</v>
      </c>
      <c r="F12" s="104">
        <f t="shared" ref="F12:H12" si="8">F66/F46</f>
        <v>0.12602398465273168</v>
      </c>
      <c r="G12" s="104">
        <f t="shared" si="8"/>
        <v>0.14420389254102178</v>
      </c>
      <c r="H12" s="104">
        <f t="shared" si="8"/>
        <v>0.14862765406525116</v>
      </c>
      <c r="I12" s="108">
        <f>AVERAGE($E$12:$H$12)</f>
        <v>0.14600646043109</v>
      </c>
      <c r="J12" s="108">
        <f t="shared" ref="J12:L12" si="9">AVERAGE($E$12:$H$12)</f>
        <v>0.14600646043109</v>
      </c>
      <c r="K12" s="108">
        <f t="shared" si="9"/>
        <v>0.14600646043109</v>
      </c>
      <c r="L12" s="108">
        <f t="shared" si="9"/>
        <v>0.14600646043109</v>
      </c>
      <c r="M12" s="108">
        <f>AVERAGE($E$12:$H$12)</f>
        <v>0.14600646043109</v>
      </c>
    </row>
    <row r="13" spans="1:13" ht="15.6" x14ac:dyDescent="0.3">
      <c r="A13" s="93" t="s">
        <v>55</v>
      </c>
      <c r="B13" s="93"/>
      <c r="C13" s="94"/>
      <c r="D13" s="104" t="s">
        <v>50</v>
      </c>
      <c r="E13" s="109">
        <v>0</v>
      </c>
      <c r="F13" s="109">
        <v>0</v>
      </c>
      <c r="G13" s="109">
        <v>0</v>
      </c>
      <c r="H13" s="109">
        <v>0</v>
      </c>
      <c r="I13" s="104">
        <f>H13</f>
        <v>0</v>
      </c>
      <c r="J13" s="104">
        <f t="shared" ref="J13:M13" si="10">I13</f>
        <v>0</v>
      </c>
      <c r="K13" s="104">
        <f t="shared" si="10"/>
        <v>0</v>
      </c>
      <c r="L13" s="104">
        <f t="shared" si="10"/>
        <v>0</v>
      </c>
      <c r="M13" s="104">
        <f t="shared" si="10"/>
        <v>0</v>
      </c>
    </row>
    <row r="14" spans="1:13" ht="15.6" x14ac:dyDescent="0.3">
      <c r="A14" s="93" t="s">
        <v>56</v>
      </c>
      <c r="B14" s="110"/>
      <c r="C14" s="111"/>
      <c r="D14" s="104" t="s">
        <v>50</v>
      </c>
      <c r="E14" s="104">
        <f>E36/E34</f>
        <v>0.13165753211086192</v>
      </c>
      <c r="F14" s="104">
        <f>F36/F34</f>
        <v>0.19147566169244151</v>
      </c>
      <c r="G14" s="104">
        <f t="shared" ref="G14:H14" si="11">G36/G34</f>
        <v>0.17957106174554294</v>
      </c>
      <c r="H14" s="104">
        <f t="shared" si="11"/>
        <v>0.16957394497697001</v>
      </c>
      <c r="I14" s="108">
        <f>AVERAGE($E$14:$H$14)</f>
        <v>0.16806955013145408</v>
      </c>
      <c r="J14" s="108">
        <f t="shared" ref="J14:M14" si="12">AVERAGE($E$14:$H$14)</f>
        <v>0.16806955013145408</v>
      </c>
      <c r="K14" s="108">
        <f t="shared" si="12"/>
        <v>0.16806955013145408</v>
      </c>
      <c r="L14" s="108">
        <f t="shared" si="12"/>
        <v>0.16806955013145408</v>
      </c>
      <c r="M14" s="108">
        <f t="shared" si="12"/>
        <v>0.16806955013145408</v>
      </c>
    </row>
    <row r="15" spans="1:13" ht="15.6" x14ac:dyDescent="0.3">
      <c r="A15" s="93" t="s">
        <v>57</v>
      </c>
      <c r="B15" s="93"/>
      <c r="C15" s="112"/>
      <c r="D15" s="104" t="s">
        <v>50</v>
      </c>
      <c r="E15" s="93">
        <f>((E44/E26)*365)</f>
        <v>81.481136833610734</v>
      </c>
      <c r="F15" s="93">
        <f t="shared" ref="F15:F16" si="13">((F44/F26)*365)</f>
        <v>83.859660713021725</v>
      </c>
      <c r="G15" s="93">
        <f>((G44/G26)*365)</f>
        <v>84.762934375535451</v>
      </c>
      <c r="H15" s="93">
        <f>((H44/H26)*365)</f>
        <v>90.568517414206809</v>
      </c>
      <c r="I15" s="98">
        <f>AVERAGE($E$15:$H$15)</f>
        <v>85.16806233409369</v>
      </c>
      <c r="J15" s="98">
        <f t="shared" ref="J15:M15" si="14">AVERAGE($E$15:$H$15)</f>
        <v>85.16806233409369</v>
      </c>
      <c r="K15" s="98">
        <f t="shared" si="14"/>
        <v>85.16806233409369</v>
      </c>
      <c r="L15" s="98">
        <f t="shared" si="14"/>
        <v>85.16806233409369</v>
      </c>
      <c r="M15" s="98">
        <f t="shared" si="14"/>
        <v>85.16806233409369</v>
      </c>
    </row>
    <row r="16" spans="1:13" ht="15.6" x14ac:dyDescent="0.3">
      <c r="A16" s="93" t="s">
        <v>58</v>
      </c>
      <c r="B16" s="93"/>
      <c r="C16" s="112"/>
      <c r="D16" s="104" t="s">
        <v>50</v>
      </c>
      <c r="E16" s="93">
        <f>((E45/E27)*365)</f>
        <v>21.80095770151636</v>
      </c>
      <c r="F16" s="93">
        <f t="shared" si="13"/>
        <v>13.854516192703034</v>
      </c>
      <c r="G16" s="93">
        <f>((G45/G27)*365)</f>
        <v>6.1363575033057183</v>
      </c>
      <c r="H16" s="93">
        <f>((H45/H27)*365)</f>
        <v>3.8980542177591055</v>
      </c>
      <c r="I16" s="98">
        <f>AVERAGE($E$16:$H$16)</f>
        <v>11.422471403821055</v>
      </c>
      <c r="J16" s="98">
        <f t="shared" ref="J16:M16" si="15">AVERAGE($E$16:$H$16)</f>
        <v>11.422471403821055</v>
      </c>
      <c r="K16" s="98">
        <f t="shared" si="15"/>
        <v>11.422471403821055</v>
      </c>
      <c r="L16" s="98">
        <f t="shared" si="15"/>
        <v>11.422471403821055</v>
      </c>
      <c r="M16" s="98">
        <f t="shared" si="15"/>
        <v>11.422471403821055</v>
      </c>
    </row>
    <row r="17" spans="1:13" ht="15.6" x14ac:dyDescent="0.3">
      <c r="A17" s="93" t="s">
        <v>59</v>
      </c>
      <c r="B17" s="93"/>
      <c r="C17" s="112"/>
      <c r="D17" s="104" t="s">
        <v>50</v>
      </c>
      <c r="E17" s="93">
        <f>(E50/E27)*365</f>
        <v>110.69433359936153</v>
      </c>
      <c r="F17" s="93">
        <f t="shared" ref="F17:H17" si="16">(F50/F27)*365</f>
        <v>100.27898820278456</v>
      </c>
      <c r="G17" s="93">
        <f t="shared" si="16"/>
        <v>108.32690179992984</v>
      </c>
      <c r="H17" s="93">
        <f t="shared" si="16"/>
        <v>115.21285195432137</v>
      </c>
      <c r="I17" s="98">
        <f>AVERAGE($E$17:$H$17)</f>
        <v>108.62826888909932</v>
      </c>
      <c r="J17" s="98">
        <f t="shared" ref="J17:M17" si="17">AVERAGE($E$17:$H$17)</f>
        <v>108.62826888909932</v>
      </c>
      <c r="K17" s="98">
        <f t="shared" si="17"/>
        <v>108.62826888909932</v>
      </c>
      <c r="L17" s="98">
        <f t="shared" si="17"/>
        <v>108.62826888909932</v>
      </c>
      <c r="M17" s="98">
        <f t="shared" si="17"/>
        <v>108.62826888909932</v>
      </c>
    </row>
    <row r="18" spans="1:13" ht="15.6" x14ac:dyDescent="0.3">
      <c r="A18" s="93" t="s">
        <v>60</v>
      </c>
      <c r="B18" s="93"/>
      <c r="C18" s="94"/>
      <c r="D18" s="104" t="s">
        <v>50</v>
      </c>
      <c r="E18" s="93">
        <f>E71</f>
        <v>-23886</v>
      </c>
      <c r="F18" s="93">
        <f t="shared" ref="F18:H18" si="18">F71</f>
        <v>-28107</v>
      </c>
      <c r="G18" s="93">
        <f t="shared" si="18"/>
        <v>-44477</v>
      </c>
      <c r="H18" s="93">
        <f t="shared" si="18"/>
        <v>-64551</v>
      </c>
      <c r="I18" s="98">
        <f>AVERAGE($E$18:$H$18)</f>
        <v>-40255.25</v>
      </c>
      <c r="J18" s="98">
        <f t="shared" ref="J18:M18" si="19">AVERAGE($E$18:$H$18)</f>
        <v>-40255.25</v>
      </c>
      <c r="K18" s="98">
        <f t="shared" si="19"/>
        <v>-40255.25</v>
      </c>
      <c r="L18" s="98">
        <f t="shared" si="19"/>
        <v>-40255.25</v>
      </c>
      <c r="M18" s="98">
        <f t="shared" si="19"/>
        <v>-40255.25</v>
      </c>
    </row>
    <row r="19" spans="1:13" ht="15.6" x14ac:dyDescent="0.3">
      <c r="A19" s="93" t="s">
        <v>61</v>
      </c>
      <c r="B19" s="93"/>
      <c r="C19" s="94"/>
      <c r="D19" s="104" t="s">
        <v>50</v>
      </c>
      <c r="E19" s="93">
        <f>E75</f>
        <v>-9023</v>
      </c>
      <c r="F19" s="93">
        <f t="shared" ref="F19:H20" si="20">F75</f>
        <v>-2750</v>
      </c>
      <c r="G19" s="93">
        <f t="shared" si="20"/>
        <v>-4675</v>
      </c>
      <c r="H19" s="93">
        <f t="shared" si="20"/>
        <v>-3216</v>
      </c>
      <c r="I19" s="98">
        <f>AVERAGE($E$19:$H$19)</f>
        <v>-4916</v>
      </c>
      <c r="J19" s="98">
        <f t="shared" ref="J19:M19" si="21">AVERAGE($E$19:$H$19)</f>
        <v>-4916</v>
      </c>
      <c r="K19" s="98">
        <f t="shared" si="21"/>
        <v>-4916</v>
      </c>
      <c r="L19" s="98">
        <f t="shared" si="21"/>
        <v>-4916</v>
      </c>
      <c r="M19" s="98">
        <f t="shared" si="21"/>
        <v>-4916</v>
      </c>
    </row>
    <row r="20" spans="1:13" ht="15.6" x14ac:dyDescent="0.3">
      <c r="A20" s="93" t="s">
        <v>62</v>
      </c>
      <c r="B20" s="93"/>
      <c r="C20" s="94"/>
      <c r="D20" s="104" t="s">
        <v>50</v>
      </c>
      <c r="E20" s="93">
        <f>E76</f>
        <v>-30855</v>
      </c>
      <c r="F20" s="93">
        <f t="shared" si="20"/>
        <v>-20379</v>
      </c>
      <c r="G20" s="93">
        <f t="shared" si="20"/>
        <v>-15252</v>
      </c>
      <c r="H20" s="93">
        <f t="shared" si="20"/>
        <v>-16364</v>
      </c>
      <c r="I20" s="98">
        <f>AVERAGE($E$20:$H$20)</f>
        <v>-20712.5</v>
      </c>
      <c r="J20" s="98">
        <f t="shared" ref="J20:M20" si="22">AVERAGE($E$20:$H$20)</f>
        <v>-20712.5</v>
      </c>
      <c r="K20" s="98">
        <f t="shared" si="22"/>
        <v>-20712.5</v>
      </c>
      <c r="L20" s="98">
        <f>AVERAGE($E$20:$H$20)</f>
        <v>-20712.5</v>
      </c>
      <c r="M20" s="98">
        <f t="shared" si="22"/>
        <v>-20712.5</v>
      </c>
    </row>
    <row r="21" spans="1:13" ht="15.6" x14ac:dyDescent="0.3">
      <c r="A21" s="93" t="s">
        <v>63</v>
      </c>
      <c r="B21" s="93"/>
      <c r="C21" s="94"/>
      <c r="D21" s="104" t="s">
        <v>50</v>
      </c>
      <c r="E21" s="98">
        <v>365</v>
      </c>
      <c r="F21" s="98">
        <v>365</v>
      </c>
      <c r="G21" s="98">
        <v>365</v>
      </c>
      <c r="H21" s="98">
        <v>365</v>
      </c>
      <c r="I21" s="98">
        <f>AVERAGE(E21:H21)</f>
        <v>365</v>
      </c>
      <c r="J21" s="98">
        <f t="shared" ref="J21:M21" si="23">AVERAGE(F21:I21)</f>
        <v>365</v>
      </c>
      <c r="K21" s="98">
        <f t="shared" si="23"/>
        <v>365</v>
      </c>
      <c r="L21" s="98">
        <f t="shared" si="23"/>
        <v>365</v>
      </c>
      <c r="M21" s="98">
        <f t="shared" si="23"/>
        <v>365</v>
      </c>
    </row>
    <row r="22" spans="1:13" ht="15.6" x14ac:dyDescent="0.3">
      <c r="A22" s="93"/>
      <c r="B22" s="93"/>
      <c r="C22" s="94"/>
      <c r="D22" s="93"/>
      <c r="E22" s="93"/>
      <c r="F22" s="93"/>
      <c r="G22" s="93"/>
      <c r="H22" s="93"/>
      <c r="I22" s="98"/>
      <c r="J22" s="98"/>
      <c r="K22" s="98"/>
      <c r="L22" s="98"/>
      <c r="M22" s="98"/>
    </row>
    <row r="23" spans="1:13" ht="15.6" x14ac:dyDescent="0.3">
      <c r="A23" s="93"/>
      <c r="B23" s="93"/>
      <c r="C23" s="94"/>
      <c r="D23" s="93"/>
      <c r="E23" s="93"/>
      <c r="F23" s="93"/>
      <c r="G23" s="93"/>
      <c r="H23" s="93"/>
      <c r="I23" s="98"/>
      <c r="J23" s="98"/>
      <c r="K23" s="98"/>
      <c r="L23" s="98"/>
      <c r="M23" s="98"/>
    </row>
    <row r="24" spans="1:13" ht="18" x14ac:dyDescent="0.3">
      <c r="A24" s="113" t="s">
        <v>64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</row>
    <row r="25" spans="1:13" ht="15.6" x14ac:dyDescent="0.3">
      <c r="A25" s="99"/>
      <c r="B25" s="99"/>
      <c r="C25" s="114"/>
      <c r="D25" s="115"/>
      <c r="E25" s="115"/>
      <c r="F25" s="115"/>
      <c r="G25" s="115"/>
      <c r="H25" s="115"/>
      <c r="I25" s="99"/>
      <c r="J25" s="99"/>
      <c r="K25" s="99"/>
      <c r="L25" s="99"/>
      <c r="M25" s="99"/>
    </row>
    <row r="26" spans="1:13" ht="15.6" x14ac:dyDescent="0.3">
      <c r="A26" s="99" t="s">
        <v>65</v>
      </c>
      <c r="B26" s="99"/>
      <c r="C26" s="114"/>
      <c r="D26" s="115" t="s">
        <v>50</v>
      </c>
      <c r="E26" s="116">
        <v>198270</v>
      </c>
      <c r="F26" s="115">
        <v>211915</v>
      </c>
      <c r="G26" s="115">
        <v>245122</v>
      </c>
      <c r="H26" s="115">
        <v>281724</v>
      </c>
      <c r="I26" s="99">
        <f>((H26)*(1+I8))</f>
        <v>316924.61351708934</v>
      </c>
      <c r="J26" s="99">
        <f>((I26)*(1+J8))</f>
        <v>356523.44370006263</v>
      </c>
      <c r="K26" s="99">
        <f t="shared" ref="K26:L26" si="24">((J26)*(1+K8))</f>
        <v>401070.03522747121</v>
      </c>
      <c r="L26" s="99">
        <f t="shared" si="24"/>
        <v>451182.59682438028</v>
      </c>
      <c r="M26" s="99">
        <f>((L26)*(1+M8))</f>
        <v>507556.58063992934</v>
      </c>
    </row>
    <row r="27" spans="1:13" ht="15.6" x14ac:dyDescent="0.3">
      <c r="A27" s="93" t="s">
        <v>66</v>
      </c>
      <c r="B27" s="93"/>
      <c r="C27" s="94"/>
      <c r="D27" s="115" t="s">
        <v>50</v>
      </c>
      <c r="E27" s="98">
        <v>62650</v>
      </c>
      <c r="F27" s="98">
        <v>65863</v>
      </c>
      <c r="G27" s="98">
        <v>74114</v>
      </c>
      <c r="H27" s="98">
        <v>87831</v>
      </c>
      <c r="I27" s="117">
        <f>((I26)*I9)</f>
        <v>98317.98055210257</v>
      </c>
      <c r="J27" s="117">
        <f>((J26)*J9)</f>
        <v>110602.53293384949</v>
      </c>
      <c r="K27" s="117">
        <f t="shared" ref="K27:M27" si="25">((K26)*K9)</f>
        <v>124422.00523942366</v>
      </c>
      <c r="L27" s="117">
        <f t="shared" si="25"/>
        <v>139968.18135311725</v>
      </c>
      <c r="M27" s="117">
        <f t="shared" si="25"/>
        <v>157456.80801077138</v>
      </c>
    </row>
    <row r="28" spans="1:13" ht="15.6" x14ac:dyDescent="0.3">
      <c r="A28" s="102" t="s">
        <v>67</v>
      </c>
      <c r="B28" s="102"/>
      <c r="C28" s="103"/>
      <c r="D28" s="115" t="s">
        <v>50</v>
      </c>
      <c r="E28" s="102">
        <v>135620</v>
      </c>
      <c r="F28" s="102">
        <v>146052</v>
      </c>
      <c r="G28" s="102">
        <v>171008</v>
      </c>
      <c r="H28" s="102">
        <v>193893</v>
      </c>
      <c r="I28" s="102">
        <f>I26-I27</f>
        <v>218606.63296498678</v>
      </c>
      <c r="J28" s="102">
        <f t="shared" ref="J28:M28" si="26">J26-J27</f>
        <v>245920.91076621314</v>
      </c>
      <c r="K28" s="102">
        <f t="shared" si="26"/>
        <v>276648.02998804755</v>
      </c>
      <c r="L28" s="102">
        <f t="shared" si="26"/>
        <v>311214.415471263</v>
      </c>
      <c r="M28" s="102">
        <f t="shared" si="26"/>
        <v>350099.77262915799</v>
      </c>
    </row>
    <row r="29" spans="1:13" ht="15.6" x14ac:dyDescent="0.3">
      <c r="A29" s="99" t="s">
        <v>68</v>
      </c>
      <c r="B29" s="99"/>
      <c r="C29" s="114"/>
      <c r="D29" s="115" t="s">
        <v>50</v>
      </c>
      <c r="E29" s="118"/>
      <c r="F29" s="118"/>
      <c r="G29" s="118"/>
      <c r="H29" s="118"/>
      <c r="I29" s="118"/>
      <c r="J29" s="118"/>
      <c r="K29" s="118"/>
      <c r="L29" s="99"/>
      <c r="M29" s="99"/>
    </row>
    <row r="30" spans="1:13" ht="15.6" x14ac:dyDescent="0.3">
      <c r="A30" s="93" t="s">
        <v>69</v>
      </c>
      <c r="B30" s="93"/>
      <c r="C30" s="94"/>
      <c r="D30" s="115" t="s">
        <v>50</v>
      </c>
      <c r="E30" s="98">
        <v>24512</v>
      </c>
      <c r="F30" s="98">
        <v>27195</v>
      </c>
      <c r="G30" s="98">
        <v>29510</v>
      </c>
      <c r="H30" s="98">
        <v>32488</v>
      </c>
      <c r="I30" s="93">
        <f>((H30*(1+I8)))</f>
        <v>36547.283312544183</v>
      </c>
      <c r="J30" s="93">
        <f t="shared" ref="J30:M30" si="27">((I30*(1+J8)))</f>
        <v>41113.762543935314</v>
      </c>
      <c r="K30" s="93">
        <f t="shared" si="27"/>
        <v>46250.810383460703</v>
      </c>
      <c r="L30" s="93">
        <f t="shared" si="27"/>
        <v>52029.717757913648</v>
      </c>
      <c r="M30" s="93">
        <f t="shared" si="27"/>
        <v>58530.683192876793</v>
      </c>
    </row>
    <row r="31" spans="1:13" ht="15.6" x14ac:dyDescent="0.3">
      <c r="A31" s="93" t="s">
        <v>70</v>
      </c>
      <c r="B31" s="93"/>
      <c r="C31" s="94"/>
      <c r="D31" s="115" t="s">
        <v>50</v>
      </c>
      <c r="E31" s="98">
        <v>27725</v>
      </c>
      <c r="F31" s="98">
        <v>30334</v>
      </c>
      <c r="G31" s="98">
        <v>32065</v>
      </c>
      <c r="H31" s="98">
        <v>32877</v>
      </c>
      <c r="I31" s="93">
        <f>((I26)*(I10))</f>
        <v>42031.22372457452</v>
      </c>
      <c r="J31" s="93">
        <f t="shared" ref="J31:M31" si="28">((J26)*(J10))</f>
        <v>47282.905732422849</v>
      </c>
      <c r="K31" s="93">
        <f t="shared" si="28"/>
        <v>53190.770488893664</v>
      </c>
      <c r="L31" s="93">
        <f t="shared" si="28"/>
        <v>59836.806164433357</v>
      </c>
      <c r="M31" s="93">
        <f t="shared" si="28"/>
        <v>67313.245118484861</v>
      </c>
    </row>
    <row r="32" spans="1:13" ht="15.6" x14ac:dyDescent="0.3">
      <c r="A32" s="93" t="s">
        <v>71</v>
      </c>
      <c r="B32" s="93"/>
      <c r="C32" s="94"/>
      <c r="D32" s="115" t="s">
        <v>50</v>
      </c>
      <c r="E32" s="98" t="s">
        <v>50</v>
      </c>
      <c r="F32" s="98" t="s">
        <v>50</v>
      </c>
      <c r="G32" s="98" t="s">
        <v>50</v>
      </c>
      <c r="H32" s="98" t="s">
        <v>50</v>
      </c>
      <c r="I32" s="98" t="s">
        <v>50</v>
      </c>
      <c r="J32" s="98" t="s">
        <v>50</v>
      </c>
      <c r="K32" s="98" t="s">
        <v>50</v>
      </c>
      <c r="L32" s="98" t="s">
        <v>50</v>
      </c>
      <c r="M32" s="98" t="s">
        <v>50</v>
      </c>
    </row>
    <row r="33" spans="1:13" ht="15.6" x14ac:dyDescent="0.3">
      <c r="A33" s="99" t="s">
        <v>72</v>
      </c>
      <c r="B33" s="93"/>
      <c r="C33" s="94"/>
      <c r="D33" s="115" t="s">
        <v>50</v>
      </c>
      <c r="E33" s="99">
        <f>SUM(E30,E31,E32)</f>
        <v>52237</v>
      </c>
      <c r="F33" s="99">
        <f t="shared" ref="F33:G33" si="29">SUM(F30,F31,F32)</f>
        <v>57529</v>
      </c>
      <c r="G33" s="99">
        <f t="shared" si="29"/>
        <v>61575</v>
      </c>
      <c r="H33" s="99">
        <f>SUM(H30,H31,H32)</f>
        <v>65365</v>
      </c>
      <c r="I33" s="99">
        <f t="shared" ref="I33:M33" si="30">SUM(I30,I31,I32)</f>
        <v>78578.507037118703</v>
      </c>
      <c r="J33" s="99">
        <f t="shared" si="30"/>
        <v>88396.668276358163</v>
      </c>
      <c r="K33" s="99">
        <f t="shared" si="30"/>
        <v>99441.58087235436</v>
      </c>
      <c r="L33" s="99">
        <f t="shared" si="30"/>
        <v>111866.523922347</v>
      </c>
      <c r="M33" s="99">
        <f t="shared" si="30"/>
        <v>125843.92831136165</v>
      </c>
    </row>
    <row r="34" spans="1:13" ht="15.6" x14ac:dyDescent="0.3">
      <c r="A34" s="102" t="s">
        <v>73</v>
      </c>
      <c r="B34" s="102"/>
      <c r="C34" s="103"/>
      <c r="D34" s="115" t="s">
        <v>50</v>
      </c>
      <c r="E34" s="102">
        <f>(E28-E33)</f>
        <v>83383</v>
      </c>
      <c r="F34" s="102">
        <f t="shared" ref="F34:H34" si="31">(F28-F33)</f>
        <v>88523</v>
      </c>
      <c r="G34" s="102">
        <f t="shared" si="31"/>
        <v>109433</v>
      </c>
      <c r="H34" s="102">
        <f t="shared" si="31"/>
        <v>128528</v>
      </c>
      <c r="I34" s="102">
        <f>(I28-I33)</f>
        <v>140028.12592786807</v>
      </c>
      <c r="J34" s="102">
        <f>(J28-J33)</f>
        <v>157524.24248985498</v>
      </c>
      <c r="K34" s="102">
        <f t="shared" ref="K34:M34" si="32">(K28-K33)</f>
        <v>177206.44911569319</v>
      </c>
      <c r="L34" s="102">
        <f t="shared" si="32"/>
        <v>199347.891548916</v>
      </c>
      <c r="M34" s="102">
        <f t="shared" si="32"/>
        <v>224255.84431779635</v>
      </c>
    </row>
    <row r="35" spans="1:13" ht="15.6" x14ac:dyDescent="0.3">
      <c r="A35" s="99"/>
      <c r="B35" s="99"/>
      <c r="C35" s="114"/>
      <c r="D35" s="115"/>
      <c r="E35" s="115"/>
      <c r="F35" s="115"/>
      <c r="G35" s="115"/>
      <c r="H35" s="115"/>
      <c r="I35" s="99"/>
      <c r="J35" s="99"/>
      <c r="K35" s="99"/>
      <c r="L35" s="99"/>
      <c r="M35" s="99"/>
    </row>
    <row r="36" spans="1:13" ht="15.6" x14ac:dyDescent="0.3">
      <c r="A36" s="93" t="s">
        <v>74</v>
      </c>
      <c r="B36" s="93"/>
      <c r="C36" s="94"/>
      <c r="D36" s="98" t="s">
        <v>50</v>
      </c>
      <c r="E36" s="98">
        <v>10978</v>
      </c>
      <c r="F36" s="98">
        <v>16950</v>
      </c>
      <c r="G36" s="98">
        <v>19651</v>
      </c>
      <c r="H36" s="98">
        <v>21795</v>
      </c>
      <c r="I36" s="117">
        <f>((I34*I14))</f>
        <v>23534.464130447388</v>
      </c>
      <c r="J36" s="117">
        <f t="shared" ref="J36:M36" si="33">((J34*J14))</f>
        <v>26475.028570068011</v>
      </c>
      <c r="K36" s="117">
        <f t="shared" si="33"/>
        <v>29783.008183266964</v>
      </c>
      <c r="L36" s="117">
        <f t="shared" si="33"/>
        <v>33504.31045228021</v>
      </c>
      <c r="M36" s="117">
        <f t="shared" si="33"/>
        <v>37690.578868841432</v>
      </c>
    </row>
    <row r="37" spans="1:13" ht="16.2" thickBot="1" x14ac:dyDescent="0.35">
      <c r="A37" s="119" t="s">
        <v>75</v>
      </c>
      <c r="B37" s="119"/>
      <c r="C37" s="120"/>
      <c r="D37" s="119" t="s">
        <v>50</v>
      </c>
      <c r="E37" s="119">
        <f>E34-E36</f>
        <v>72405</v>
      </c>
      <c r="F37" s="119">
        <f t="shared" ref="F37:M37" si="34">F34-F36</f>
        <v>71573</v>
      </c>
      <c r="G37" s="119">
        <f t="shared" si="34"/>
        <v>89782</v>
      </c>
      <c r="H37" s="119">
        <f>H34-H36</f>
        <v>106733</v>
      </c>
      <c r="I37" s="119">
        <f t="shared" si="34"/>
        <v>116493.66179742067</v>
      </c>
      <c r="J37" s="119">
        <f t="shared" si="34"/>
        <v>131049.21391978697</v>
      </c>
      <c r="K37" s="119">
        <f t="shared" si="34"/>
        <v>147423.44093242622</v>
      </c>
      <c r="L37" s="119">
        <f>L34-L36</f>
        <v>165843.58109663578</v>
      </c>
      <c r="M37" s="119">
        <f t="shared" si="34"/>
        <v>186565.26544895492</v>
      </c>
    </row>
    <row r="38" spans="1:13" ht="16.2" thickTop="1" x14ac:dyDescent="0.3">
      <c r="A38" s="93"/>
      <c r="B38" s="93"/>
      <c r="C38" s="94"/>
      <c r="D38" s="98"/>
      <c r="E38" s="98"/>
      <c r="F38" s="98"/>
      <c r="G38" s="98"/>
      <c r="H38" s="98"/>
      <c r="I38" s="93"/>
      <c r="J38" s="93"/>
      <c r="K38" s="93"/>
      <c r="L38" s="93"/>
      <c r="M38" s="93"/>
    </row>
    <row r="39" spans="1:13" ht="15.6" x14ac:dyDescent="0.3">
      <c r="A39" s="93"/>
      <c r="B39" s="93"/>
      <c r="C39" s="94"/>
      <c r="D39" s="98"/>
      <c r="E39" s="98"/>
      <c r="F39" s="98"/>
      <c r="G39" s="98"/>
      <c r="H39" s="98"/>
      <c r="I39" s="93"/>
      <c r="J39" s="93"/>
      <c r="K39" s="93"/>
      <c r="L39" s="93"/>
      <c r="M39" s="93"/>
    </row>
    <row r="40" spans="1:13" ht="18" x14ac:dyDescent="0.3">
      <c r="A40" s="113" t="s">
        <v>76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</row>
    <row r="41" spans="1:13" ht="15.6" x14ac:dyDescent="0.3">
      <c r="A41" s="93"/>
      <c r="B41" s="93"/>
      <c r="C41" s="94"/>
      <c r="D41" s="98"/>
      <c r="E41" s="98"/>
      <c r="F41" s="98"/>
      <c r="G41" s="98"/>
      <c r="H41" s="98"/>
      <c r="I41" s="93"/>
      <c r="J41" s="93"/>
      <c r="K41" s="93"/>
      <c r="L41" s="93"/>
      <c r="M41" s="93"/>
    </row>
    <row r="42" spans="1:13" ht="15.6" x14ac:dyDescent="0.3">
      <c r="A42" s="99" t="s">
        <v>77</v>
      </c>
      <c r="B42" s="93"/>
      <c r="C42" s="94"/>
      <c r="D42" s="98"/>
      <c r="E42" s="98"/>
      <c r="F42" s="98"/>
      <c r="G42" s="98"/>
      <c r="H42" s="98"/>
      <c r="I42" s="93"/>
      <c r="J42" s="93"/>
      <c r="K42" s="93"/>
      <c r="L42" s="93"/>
      <c r="M42" s="93"/>
    </row>
    <row r="43" spans="1:13" ht="15.6" x14ac:dyDescent="0.3">
      <c r="A43" s="93" t="s">
        <v>0</v>
      </c>
      <c r="B43" s="93"/>
      <c r="C43" s="121"/>
      <c r="D43" s="98" t="s">
        <v>50</v>
      </c>
      <c r="E43" s="98">
        <v>13931</v>
      </c>
      <c r="F43" s="98">
        <v>34704</v>
      </c>
      <c r="G43" s="98">
        <v>18315</v>
      </c>
      <c r="H43" s="98">
        <v>30242</v>
      </c>
      <c r="I43" s="93">
        <f>I81</f>
        <v>109755.07654568669</v>
      </c>
      <c r="J43" s="93">
        <f t="shared" ref="J43:M43" si="35">J81</f>
        <v>203481.8395404249</v>
      </c>
      <c r="K43" s="93">
        <f t="shared" si="35"/>
        <v>313673.09209480986</v>
      </c>
      <c r="L43" s="93">
        <f t="shared" si="35"/>
        <v>442159.5126661245</v>
      </c>
      <c r="M43" s="93">
        <f t="shared" si="35"/>
        <v>591033.59010841628</v>
      </c>
    </row>
    <row r="44" spans="1:13" ht="15.6" x14ac:dyDescent="0.3">
      <c r="A44" s="93" t="s">
        <v>78</v>
      </c>
      <c r="B44" s="93"/>
      <c r="C44" s="121"/>
      <c r="D44" s="98" t="s">
        <v>50</v>
      </c>
      <c r="E44" s="98">
        <v>44261</v>
      </c>
      <c r="F44" s="98">
        <v>48688</v>
      </c>
      <c r="G44" s="98">
        <v>56924</v>
      </c>
      <c r="H44" s="98">
        <v>69905</v>
      </c>
      <c r="I44" s="122">
        <f>((I26/365)*I15)</f>
        <v>73950.288326663052</v>
      </c>
      <c r="J44" s="122">
        <f t="shared" ref="J44:M45" si="36">((J26/365)*J15)</f>
        <v>83190.166785240217</v>
      </c>
      <c r="K44" s="122">
        <f t="shared" si="36"/>
        <v>93584.541809836766</v>
      </c>
      <c r="L44" s="122">
        <f t="shared" si="36"/>
        <v>105277.66446684132</v>
      </c>
      <c r="M44" s="122">
        <f t="shared" si="36"/>
        <v>118431.80958361905</v>
      </c>
    </row>
    <row r="45" spans="1:13" ht="15.6" x14ac:dyDescent="0.3">
      <c r="A45" s="93" t="s">
        <v>79</v>
      </c>
      <c r="B45" s="93"/>
      <c r="C45" s="121"/>
      <c r="D45" s="98" t="s">
        <v>50</v>
      </c>
      <c r="E45" s="98">
        <v>3742</v>
      </c>
      <c r="F45" s="98">
        <v>2500</v>
      </c>
      <c r="G45" s="98">
        <v>1246</v>
      </c>
      <c r="H45" s="98">
        <v>938</v>
      </c>
      <c r="I45" s="93">
        <f>((I27/365)*I16)</f>
        <v>3076.8063598296608</v>
      </c>
      <c r="J45" s="93">
        <f t="shared" si="36"/>
        <v>3461.2445743207459</v>
      </c>
      <c r="K45" s="93">
        <f t="shared" si="36"/>
        <v>3893.7172516531236</v>
      </c>
      <c r="L45" s="93">
        <f t="shared" si="36"/>
        <v>4380.2261615090993</v>
      </c>
      <c r="M45" s="93">
        <f t="shared" si="36"/>
        <v>4927.5229776437754</v>
      </c>
    </row>
    <row r="46" spans="1:13" ht="15.6" x14ac:dyDescent="0.3">
      <c r="A46" s="93" t="s">
        <v>80</v>
      </c>
      <c r="B46" s="93"/>
      <c r="C46" s="94"/>
      <c r="D46" s="98" t="s">
        <v>50</v>
      </c>
      <c r="E46" s="98">
        <v>87546</v>
      </c>
      <c r="F46" s="98">
        <v>109987</v>
      </c>
      <c r="G46" s="98">
        <v>154552</v>
      </c>
      <c r="H46" s="98">
        <v>229789</v>
      </c>
      <c r="I46" s="93">
        <f>I98</f>
        <v>236493.57146400027</v>
      </c>
      <c r="J46" s="93">
        <f t="shared" ref="J46:M46" si="37">J98</f>
        <v>242219.23217983457</v>
      </c>
      <c r="K46" s="93">
        <f t="shared" si="37"/>
        <v>247108.90944092054</v>
      </c>
      <c r="L46" s="93">
        <f>L98</f>
        <v>251284.66223246499</v>
      </c>
      <c r="M46" s="93">
        <f t="shared" si="37"/>
        <v>254850.72813928078</v>
      </c>
    </row>
    <row r="47" spans="1:13" ht="16.2" thickBot="1" x14ac:dyDescent="0.35">
      <c r="A47" s="119" t="s">
        <v>81</v>
      </c>
      <c r="B47" s="119"/>
      <c r="C47" s="120"/>
      <c r="D47" s="98" t="s">
        <v>50</v>
      </c>
      <c r="E47" s="119">
        <f>SUM(E43,E44,E45,E46)</f>
        <v>149480</v>
      </c>
      <c r="F47" s="119">
        <f t="shared" ref="F47:G47" si="38">SUM(F43,F44,F45,F46)</f>
        <v>195879</v>
      </c>
      <c r="G47" s="119">
        <f t="shared" si="38"/>
        <v>231037</v>
      </c>
      <c r="H47" s="119">
        <f>SUM(H43,H44,H45,H46)</f>
        <v>330874</v>
      </c>
      <c r="I47" s="119">
        <f>SUM(I43:I46)</f>
        <v>423275.74269617966</v>
      </c>
      <c r="J47" s="119">
        <f t="shared" ref="J47:M47" si="39">SUM(J43:J46)</f>
        <v>532352.48307982041</v>
      </c>
      <c r="K47" s="119">
        <f t="shared" si="39"/>
        <v>658260.26059722027</v>
      </c>
      <c r="L47" s="119">
        <f t="shared" si="39"/>
        <v>803102.06552693981</v>
      </c>
      <c r="M47" s="119">
        <f t="shared" si="39"/>
        <v>969243.65080895985</v>
      </c>
    </row>
    <row r="48" spans="1:13" ht="16.2" thickTop="1" x14ac:dyDescent="0.3">
      <c r="A48" s="99"/>
      <c r="B48" s="99"/>
      <c r="C48" s="114"/>
      <c r="D48" s="115"/>
      <c r="E48" s="115"/>
      <c r="F48" s="115"/>
      <c r="G48" s="115"/>
      <c r="H48" s="115"/>
      <c r="I48" s="99"/>
      <c r="J48" s="99"/>
      <c r="K48" s="99"/>
      <c r="L48" s="99"/>
      <c r="M48" s="99"/>
    </row>
    <row r="49" spans="1:13" ht="15.6" x14ac:dyDescent="0.3">
      <c r="A49" s="99" t="s">
        <v>82</v>
      </c>
      <c r="B49" s="93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</row>
    <row r="50" spans="1:13" ht="15.6" x14ac:dyDescent="0.3">
      <c r="A50" s="93" t="s">
        <v>83</v>
      </c>
      <c r="B50" s="93"/>
      <c r="C50" s="121"/>
      <c r="D50" s="123" t="s">
        <v>50</v>
      </c>
      <c r="E50" s="123">
        <v>19000</v>
      </c>
      <c r="F50" s="123">
        <v>18095</v>
      </c>
      <c r="G50" s="123">
        <v>21996</v>
      </c>
      <c r="H50" s="123">
        <v>27724</v>
      </c>
      <c r="I50" s="93">
        <f>((I27/365*I17))</f>
        <v>29260.580898758999</v>
      </c>
      <c r="J50" s="93">
        <f t="shared" ref="J50:M50" si="40">((J27/365*J17))</f>
        <v>32916.607362612784</v>
      </c>
      <c r="K50" s="93">
        <f t="shared" si="40"/>
        <v>37029.443947586406</v>
      </c>
      <c r="L50" s="93">
        <f t="shared" si="40"/>
        <v>41656.167780670243</v>
      </c>
      <c r="M50" s="93">
        <f t="shared" si="40"/>
        <v>46860.987613735233</v>
      </c>
    </row>
    <row r="51" spans="1:13" ht="15.6" x14ac:dyDescent="0.3">
      <c r="A51" s="93" t="s">
        <v>1</v>
      </c>
      <c r="B51" s="93"/>
      <c r="C51" s="94"/>
      <c r="D51" s="123" t="s">
        <v>50</v>
      </c>
      <c r="E51" s="98">
        <v>61270</v>
      </c>
      <c r="F51" s="98">
        <v>59965</v>
      </c>
      <c r="G51" s="98">
        <v>67127</v>
      </c>
      <c r="H51" s="98">
        <v>60588</v>
      </c>
      <c r="I51" s="93">
        <f>(H51+I19)</f>
        <v>55672</v>
      </c>
      <c r="J51" s="93">
        <f t="shared" ref="J51:L51" si="41">(I51+J19)</f>
        <v>50756</v>
      </c>
      <c r="K51" s="93">
        <f>(J51+K19)</f>
        <v>45840</v>
      </c>
      <c r="L51" s="93">
        <f t="shared" si="41"/>
        <v>40924</v>
      </c>
      <c r="M51" s="93">
        <f>(L51+M19)</f>
        <v>36008</v>
      </c>
    </row>
    <row r="52" spans="1:13" ht="15.6" x14ac:dyDescent="0.3">
      <c r="A52" s="102" t="s">
        <v>84</v>
      </c>
      <c r="B52" s="102"/>
      <c r="C52" s="103"/>
      <c r="D52" s="123" t="s">
        <v>50</v>
      </c>
      <c r="E52" s="102">
        <f>SUM(E50,E51)</f>
        <v>80270</v>
      </c>
      <c r="F52" s="102">
        <f t="shared" ref="F52:G52" si="42">SUM(F50,F51)</f>
        <v>78060</v>
      </c>
      <c r="G52" s="102">
        <f t="shared" si="42"/>
        <v>89123</v>
      </c>
      <c r="H52" s="102">
        <f>SUM(H50,H51)</f>
        <v>88312</v>
      </c>
      <c r="I52" s="102">
        <f>SUM(I50:I51)</f>
        <v>84932.580898758999</v>
      </c>
      <c r="J52" s="102">
        <f t="shared" ref="J52:M52" si="43">SUM(J50:J51)</f>
        <v>83672.607362612791</v>
      </c>
      <c r="K52" s="102">
        <f t="shared" si="43"/>
        <v>82869.443947586406</v>
      </c>
      <c r="L52" s="102">
        <f t="shared" si="43"/>
        <v>82580.16778067025</v>
      </c>
      <c r="M52" s="102">
        <f t="shared" si="43"/>
        <v>82868.987613735226</v>
      </c>
    </row>
    <row r="53" spans="1:13" ht="15.6" x14ac:dyDescent="0.3">
      <c r="A53" s="99" t="s">
        <v>85</v>
      </c>
      <c r="B53" s="93"/>
      <c r="C53" s="94"/>
      <c r="D53" s="123"/>
      <c r="E53" s="98"/>
      <c r="F53" s="98"/>
      <c r="G53" s="98"/>
      <c r="H53" s="98"/>
      <c r="I53" s="93"/>
      <c r="J53" s="93"/>
      <c r="K53" s="93"/>
      <c r="L53" s="93"/>
      <c r="M53" s="93"/>
    </row>
    <row r="54" spans="1:13" ht="15.6" x14ac:dyDescent="0.3">
      <c r="A54" s="93" t="s">
        <v>86</v>
      </c>
      <c r="B54" s="93"/>
      <c r="C54" s="94"/>
      <c r="D54" s="123" t="s">
        <v>50</v>
      </c>
      <c r="E54" s="98">
        <v>86939</v>
      </c>
      <c r="F54" s="98">
        <v>93718</v>
      </c>
      <c r="G54" s="98">
        <v>100923</v>
      </c>
      <c r="H54" s="98">
        <v>109095</v>
      </c>
      <c r="I54" s="98">
        <f>(H54+I20)</f>
        <v>88382.5</v>
      </c>
      <c r="J54" s="98">
        <f t="shared" ref="J54:M54" si="44">(I54+J20)</f>
        <v>67670</v>
      </c>
      <c r="K54" s="98">
        <f t="shared" si="44"/>
        <v>46957.5</v>
      </c>
      <c r="L54" s="98">
        <f t="shared" si="44"/>
        <v>26245</v>
      </c>
      <c r="M54" s="98">
        <f t="shared" si="44"/>
        <v>5532.5</v>
      </c>
    </row>
    <row r="55" spans="1:13" ht="15.6" x14ac:dyDescent="0.3">
      <c r="A55" s="93" t="s">
        <v>87</v>
      </c>
      <c r="B55" s="93"/>
      <c r="C55" s="94"/>
      <c r="D55" s="123" t="s">
        <v>50</v>
      </c>
      <c r="E55" s="98">
        <v>84281</v>
      </c>
      <c r="F55" s="98">
        <v>118848</v>
      </c>
      <c r="G55" s="98">
        <v>173144</v>
      </c>
      <c r="H55" s="98">
        <v>237731</v>
      </c>
      <c r="I55" s="93">
        <f>H55+I37</f>
        <v>354224.6617974207</v>
      </c>
      <c r="J55" s="93">
        <f t="shared" ref="J55:L55" si="45">I55+J37</f>
        <v>485273.87571720767</v>
      </c>
      <c r="K55" s="93">
        <f t="shared" si="45"/>
        <v>632697.31664963393</v>
      </c>
      <c r="L55" s="93">
        <f t="shared" si="45"/>
        <v>798540.89774626971</v>
      </c>
      <c r="M55" s="93">
        <f>L55+M37</f>
        <v>985106.1631952246</v>
      </c>
    </row>
    <row r="56" spans="1:13" ht="15.6" x14ac:dyDescent="0.3">
      <c r="A56" s="124" t="s">
        <v>85</v>
      </c>
      <c r="B56" s="124"/>
      <c r="C56" s="125"/>
      <c r="D56" s="123" t="s">
        <v>50</v>
      </c>
      <c r="E56" s="124">
        <f>SUM(E54:E55)</f>
        <v>171220</v>
      </c>
      <c r="F56" s="124">
        <f t="shared" ref="F56" si="46">SUM(F54:F55)</f>
        <v>212566</v>
      </c>
      <c r="G56" s="124">
        <f>SUM(G54:G55)</f>
        <v>274067</v>
      </c>
      <c r="H56" s="124">
        <f>SUM(H54:H55)</f>
        <v>346826</v>
      </c>
      <c r="I56" s="124">
        <f>SUM(I54:I55)</f>
        <v>442607.1617974207</v>
      </c>
      <c r="J56" s="124">
        <f t="shared" ref="J56:M56" si="47">SUM(J54:J55)</f>
        <v>552943.87571720767</v>
      </c>
      <c r="K56" s="124">
        <f t="shared" si="47"/>
        <v>679654.81664963393</v>
      </c>
      <c r="L56" s="124">
        <f t="shared" si="47"/>
        <v>824785.89774626971</v>
      </c>
      <c r="M56" s="124">
        <f t="shared" si="47"/>
        <v>990638.6631952246</v>
      </c>
    </row>
    <row r="57" spans="1:13" ht="16.2" thickBot="1" x14ac:dyDescent="0.35">
      <c r="A57" s="119" t="s">
        <v>88</v>
      </c>
      <c r="B57" s="119"/>
      <c r="C57" s="120"/>
      <c r="D57" s="123" t="s">
        <v>50</v>
      </c>
      <c r="E57" s="119">
        <f>(E52+E56)</f>
        <v>251490</v>
      </c>
      <c r="F57" s="119">
        <f t="shared" ref="F57:L57" si="48">(F52+F56)</f>
        <v>290626</v>
      </c>
      <c r="G57" s="119">
        <f t="shared" si="48"/>
        <v>363190</v>
      </c>
      <c r="H57" s="119">
        <f t="shared" si="48"/>
        <v>435138</v>
      </c>
      <c r="I57" s="119">
        <f>(I52+I56)</f>
        <v>527539.74269617966</v>
      </c>
      <c r="J57" s="119">
        <f t="shared" si="48"/>
        <v>636616.48307982041</v>
      </c>
      <c r="K57" s="119">
        <f t="shared" si="48"/>
        <v>762524.26059722039</v>
      </c>
      <c r="L57" s="119">
        <f t="shared" si="48"/>
        <v>907366.06552693993</v>
      </c>
      <c r="M57" s="119">
        <f>(M52+M56)</f>
        <v>1073507.6508089597</v>
      </c>
    </row>
    <row r="58" spans="1:13" ht="16.2" thickTop="1" x14ac:dyDescent="0.3">
      <c r="A58" s="93"/>
      <c r="B58" s="93"/>
      <c r="C58" s="94"/>
      <c r="D58" s="98"/>
      <c r="E58" s="98"/>
      <c r="F58" s="98"/>
      <c r="G58" s="98"/>
      <c r="H58" s="98"/>
      <c r="I58" s="93"/>
      <c r="J58" s="93"/>
      <c r="K58" s="93"/>
      <c r="L58" s="93"/>
      <c r="M58" s="93"/>
    </row>
    <row r="59" spans="1:13" ht="15.6" x14ac:dyDescent="0.3">
      <c r="A59" s="110"/>
      <c r="B59" s="126"/>
      <c r="C59" s="127"/>
      <c r="D59" s="126"/>
      <c r="E59" s="126"/>
      <c r="F59" s="126"/>
      <c r="G59" s="126"/>
      <c r="H59" s="126"/>
      <c r="I59" s="126"/>
      <c r="J59" s="126"/>
      <c r="K59" s="126"/>
      <c r="L59" s="126"/>
      <c r="M59" s="126"/>
    </row>
    <row r="60" spans="1:13" ht="15.6" x14ac:dyDescent="0.3">
      <c r="A60" s="126"/>
      <c r="B60" s="126"/>
      <c r="C60" s="127"/>
      <c r="D60" s="126"/>
      <c r="E60" s="126"/>
      <c r="F60" s="126"/>
      <c r="G60" s="126"/>
      <c r="H60" s="126"/>
      <c r="I60" s="126"/>
      <c r="J60" s="126"/>
      <c r="K60" s="126"/>
      <c r="L60" s="126"/>
      <c r="M60" s="126"/>
    </row>
    <row r="61" spans="1:13" ht="15.6" x14ac:dyDescent="0.3">
      <c r="A61" s="93"/>
      <c r="B61" s="93"/>
      <c r="C61" s="94"/>
      <c r="D61" s="98"/>
      <c r="E61" s="98"/>
      <c r="F61" s="98"/>
      <c r="G61" s="98"/>
      <c r="H61" s="98"/>
      <c r="I61" s="93"/>
      <c r="J61" s="93"/>
      <c r="K61" s="93"/>
      <c r="L61" s="93"/>
      <c r="M61" s="93"/>
    </row>
    <row r="62" spans="1:13" ht="18" x14ac:dyDescent="0.3">
      <c r="A62" s="113" t="s">
        <v>89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</row>
    <row r="63" spans="1:13" ht="15.6" x14ac:dyDescent="0.3">
      <c r="A63" s="99"/>
      <c r="B63" s="93"/>
      <c r="C63" s="94"/>
      <c r="D63" s="115"/>
      <c r="E63" s="98"/>
      <c r="F63" s="98"/>
      <c r="G63" s="98"/>
      <c r="H63" s="98"/>
      <c r="I63" s="93"/>
      <c r="J63" s="93"/>
      <c r="K63" s="93"/>
      <c r="L63" s="93"/>
      <c r="M63" s="93"/>
    </row>
    <row r="64" spans="1:13" ht="15.6" x14ac:dyDescent="0.3">
      <c r="A64" s="99" t="s">
        <v>90</v>
      </c>
      <c r="B64" s="93"/>
      <c r="C64" s="94"/>
      <c r="D64" s="98"/>
      <c r="E64" s="98"/>
      <c r="F64" s="98"/>
      <c r="G64" s="98"/>
      <c r="H64" s="98"/>
      <c r="I64" s="93"/>
      <c r="J64" s="93"/>
      <c r="K64" s="93"/>
      <c r="L64" s="93"/>
      <c r="M64" s="93"/>
    </row>
    <row r="65" spans="1:13" ht="15.6" x14ac:dyDescent="0.3">
      <c r="A65" s="93" t="s">
        <v>75</v>
      </c>
      <c r="B65" s="93"/>
      <c r="C65" s="94"/>
      <c r="D65" s="98" t="s">
        <v>50</v>
      </c>
      <c r="E65" s="98">
        <v>72738</v>
      </c>
      <c r="F65" s="98">
        <v>72631</v>
      </c>
      <c r="G65" s="98">
        <v>88136</v>
      </c>
      <c r="H65" s="98">
        <v>101832</v>
      </c>
      <c r="I65" s="93">
        <f>I37</f>
        <v>116493.66179742067</v>
      </c>
      <c r="J65" s="93">
        <f t="shared" ref="J65:M65" si="49">J37</f>
        <v>131049.21391978697</v>
      </c>
      <c r="K65" s="93">
        <f t="shared" si="49"/>
        <v>147423.44093242622</v>
      </c>
      <c r="L65" s="93">
        <f t="shared" si="49"/>
        <v>165843.58109663578</v>
      </c>
      <c r="M65" s="93">
        <f t="shared" si="49"/>
        <v>186565.26544895492</v>
      </c>
    </row>
    <row r="66" spans="1:13" ht="15.6" x14ac:dyDescent="0.3">
      <c r="A66" s="93" t="s">
        <v>91</v>
      </c>
      <c r="B66" s="93"/>
      <c r="C66" s="94"/>
      <c r="D66" s="98" t="s">
        <v>50</v>
      </c>
      <c r="E66" s="98">
        <v>14460</v>
      </c>
      <c r="F66" s="98">
        <v>13861</v>
      </c>
      <c r="G66" s="98">
        <v>22287</v>
      </c>
      <c r="H66" s="98">
        <v>34153</v>
      </c>
      <c r="I66" s="93">
        <f>I97</f>
        <v>33550.678535999738</v>
      </c>
      <c r="J66" s="93">
        <f t="shared" ref="J66:M66" si="50">J97</f>
        <v>34529.589284165711</v>
      </c>
      <c r="K66" s="93">
        <f t="shared" si="50"/>
        <v>35365.572738914016</v>
      </c>
      <c r="L66" s="93">
        <f t="shared" si="50"/>
        <v>36079.49720845557</v>
      </c>
      <c r="M66" s="93">
        <f t="shared" si="50"/>
        <v>36689.184093184216</v>
      </c>
    </row>
    <row r="67" spans="1:13" ht="15.6" x14ac:dyDescent="0.3">
      <c r="A67" s="93" t="s">
        <v>92</v>
      </c>
      <c r="B67" s="93"/>
      <c r="C67" s="94"/>
      <c r="D67" s="98" t="s">
        <v>50</v>
      </c>
      <c r="E67" s="98">
        <f>446000/1000</f>
        <v>446</v>
      </c>
      <c r="F67" s="98">
        <f>-2388000/1000</f>
        <v>-2388</v>
      </c>
      <c r="G67" s="98">
        <f>1824000/1000</f>
        <v>1824</v>
      </c>
      <c r="H67" s="98">
        <v>-5350</v>
      </c>
      <c r="I67" s="93">
        <f>I92</f>
        <v>4647.5137877337111</v>
      </c>
      <c r="J67" s="93">
        <f t="shared" ref="J67:M67" si="51">J92</f>
        <v>5968.2902092144723</v>
      </c>
      <c r="K67" s="93">
        <f t="shared" si="51"/>
        <v>6714.0111169553056</v>
      </c>
      <c r="L67" s="93">
        <f t="shared" si="51"/>
        <v>7552.9077337766939</v>
      </c>
      <c r="M67" s="93">
        <f t="shared" si="51"/>
        <v>8496.6220998474164</v>
      </c>
    </row>
    <row r="68" spans="1:13" ht="15.6" x14ac:dyDescent="0.3">
      <c r="A68" s="102" t="s">
        <v>93</v>
      </c>
      <c r="B68" s="101"/>
      <c r="C68" s="128"/>
      <c r="D68" s="102" t="s">
        <v>50</v>
      </c>
      <c r="E68" s="102">
        <f>((E65+E66)-E67)</f>
        <v>86752</v>
      </c>
      <c r="F68" s="102">
        <f t="shared" ref="F68:G68" si="52">((F65+F66)-F67)</f>
        <v>88880</v>
      </c>
      <c r="G68" s="102">
        <f t="shared" si="52"/>
        <v>108599</v>
      </c>
      <c r="H68" s="102">
        <f>((H65+H66)-H67)</f>
        <v>141335</v>
      </c>
      <c r="I68" s="102">
        <f t="shared" ref="I68:M68" si="53">((I65+I66)-I67)</f>
        <v>145396.82654568669</v>
      </c>
      <c r="J68" s="102">
        <f>((J65+J66)-J67)</f>
        <v>159610.51299473821</v>
      </c>
      <c r="K68" s="102">
        <f t="shared" si="53"/>
        <v>176075.00255438493</v>
      </c>
      <c r="L68" s="102">
        <f t="shared" si="53"/>
        <v>194370.17057131467</v>
      </c>
      <c r="M68" s="102">
        <f t="shared" si="53"/>
        <v>214757.82744229172</v>
      </c>
    </row>
    <row r="69" spans="1:13" ht="15.6" x14ac:dyDescent="0.3">
      <c r="A69" s="99"/>
      <c r="B69" s="93"/>
      <c r="C69" s="94"/>
      <c r="D69" s="115"/>
      <c r="E69" s="115"/>
      <c r="F69" s="115"/>
      <c r="G69" s="98"/>
      <c r="H69" s="115"/>
      <c r="I69" s="99"/>
      <c r="J69" s="99"/>
      <c r="K69" s="99"/>
      <c r="L69" s="99"/>
      <c r="M69" s="99"/>
    </row>
    <row r="70" spans="1:13" ht="15.6" x14ac:dyDescent="0.3">
      <c r="A70" s="99" t="s">
        <v>94</v>
      </c>
      <c r="B70" s="93"/>
      <c r="C70" s="94"/>
      <c r="D70" s="98"/>
      <c r="E70" s="98"/>
      <c r="F70" s="98"/>
      <c r="G70" s="98"/>
      <c r="H70" s="98"/>
      <c r="I70" s="93"/>
      <c r="J70" s="93"/>
      <c r="K70" s="93"/>
      <c r="L70" s="93"/>
      <c r="M70" s="93"/>
    </row>
    <row r="71" spans="1:13" ht="15.6" x14ac:dyDescent="0.3">
      <c r="A71" s="93" t="s">
        <v>95</v>
      </c>
      <c r="B71" s="93"/>
      <c r="C71" s="94"/>
      <c r="D71" s="98" t="s">
        <v>50</v>
      </c>
      <c r="E71" s="98">
        <v>-23886</v>
      </c>
      <c r="F71" s="98">
        <v>-28107</v>
      </c>
      <c r="G71" s="98">
        <f>-44477</f>
        <v>-44477</v>
      </c>
      <c r="H71" s="98">
        <v>-64551</v>
      </c>
      <c r="I71" s="93">
        <f>I18</f>
        <v>-40255.25</v>
      </c>
      <c r="J71" s="93">
        <f t="shared" ref="J71:M71" si="54">J18</f>
        <v>-40255.25</v>
      </c>
      <c r="K71" s="93">
        <f>K18</f>
        <v>-40255.25</v>
      </c>
      <c r="L71" s="93">
        <f t="shared" si="54"/>
        <v>-40255.25</v>
      </c>
      <c r="M71" s="93">
        <f t="shared" si="54"/>
        <v>-40255.25</v>
      </c>
    </row>
    <row r="72" spans="1:13" ht="15.6" x14ac:dyDescent="0.3">
      <c r="A72" s="102" t="s">
        <v>96</v>
      </c>
      <c r="B72" s="101"/>
      <c r="C72" s="128"/>
      <c r="D72" s="102" t="s">
        <v>50</v>
      </c>
      <c r="E72" s="102">
        <f>E71</f>
        <v>-23886</v>
      </c>
      <c r="F72" s="102">
        <f t="shared" ref="F72:H72" si="55">F71</f>
        <v>-28107</v>
      </c>
      <c r="G72" s="102">
        <f t="shared" si="55"/>
        <v>-44477</v>
      </c>
      <c r="H72" s="102">
        <f t="shared" si="55"/>
        <v>-64551</v>
      </c>
      <c r="I72" s="102">
        <f>I71</f>
        <v>-40255.25</v>
      </c>
      <c r="J72" s="102">
        <f t="shared" ref="J72:M72" si="56">J71</f>
        <v>-40255.25</v>
      </c>
      <c r="K72" s="102">
        <f>K71</f>
        <v>-40255.25</v>
      </c>
      <c r="L72" s="102">
        <f t="shared" si="56"/>
        <v>-40255.25</v>
      </c>
      <c r="M72" s="102">
        <f t="shared" si="56"/>
        <v>-40255.25</v>
      </c>
    </row>
    <row r="73" spans="1:13" ht="15.6" x14ac:dyDescent="0.3">
      <c r="A73" s="99"/>
      <c r="B73" s="93"/>
      <c r="C73" s="94"/>
      <c r="D73" s="115"/>
      <c r="E73" s="115"/>
      <c r="F73" s="115"/>
      <c r="G73" s="115"/>
      <c r="H73" s="115"/>
      <c r="I73" s="99"/>
      <c r="J73" s="99"/>
      <c r="K73" s="99"/>
      <c r="L73" s="99"/>
      <c r="M73" s="99"/>
    </row>
    <row r="74" spans="1:13" ht="15.6" x14ac:dyDescent="0.3">
      <c r="A74" s="99" t="s">
        <v>97</v>
      </c>
      <c r="B74" s="93"/>
      <c r="C74" s="94"/>
      <c r="D74" s="98"/>
      <c r="E74" s="98"/>
      <c r="F74" s="98"/>
      <c r="G74" s="98"/>
      <c r="H74" s="98"/>
      <c r="I74" s="93"/>
      <c r="J74" s="93"/>
      <c r="K74" s="93"/>
      <c r="L74" s="93"/>
      <c r="M74" s="93"/>
    </row>
    <row r="75" spans="1:13" ht="15.6" x14ac:dyDescent="0.3">
      <c r="A75" s="93" t="s">
        <v>98</v>
      </c>
      <c r="B75" s="93"/>
      <c r="C75" s="94"/>
      <c r="D75" s="98" t="s">
        <v>50</v>
      </c>
      <c r="E75" s="98">
        <f>0+-9023</f>
        <v>-9023</v>
      </c>
      <c r="F75" s="98">
        <f>(0+-2750)</f>
        <v>-2750</v>
      </c>
      <c r="G75" s="98">
        <f>24395+(-29070)</f>
        <v>-4675</v>
      </c>
      <c r="H75" s="98">
        <f>(0+-3216)</f>
        <v>-3216</v>
      </c>
      <c r="I75" s="93">
        <f>I102</f>
        <v>-4916</v>
      </c>
      <c r="J75" s="93">
        <f t="shared" ref="J75:M75" si="57">J102</f>
        <v>-4916</v>
      </c>
      <c r="K75" s="93">
        <f t="shared" si="57"/>
        <v>-4916</v>
      </c>
      <c r="L75" s="93">
        <f t="shared" si="57"/>
        <v>-4916</v>
      </c>
      <c r="M75" s="93">
        <f t="shared" si="57"/>
        <v>-4916</v>
      </c>
    </row>
    <row r="76" spans="1:13" ht="15.6" x14ac:dyDescent="0.3">
      <c r="A76" s="93" t="s">
        <v>99</v>
      </c>
      <c r="B76" s="93"/>
      <c r="C76" s="94"/>
      <c r="D76" s="98" t="s">
        <v>50</v>
      </c>
      <c r="E76" s="98">
        <f>1841-32696</f>
        <v>-30855</v>
      </c>
      <c r="F76" s="98">
        <f>1866-22245</f>
        <v>-20379</v>
      </c>
      <c r="G76" s="98">
        <f>2002-17254</f>
        <v>-15252</v>
      </c>
      <c r="H76" s="98">
        <f>2056-18420</f>
        <v>-16364</v>
      </c>
      <c r="I76" s="93">
        <f>I20</f>
        <v>-20712.5</v>
      </c>
      <c r="J76" s="93">
        <f t="shared" ref="J76:M76" si="58">J20</f>
        <v>-20712.5</v>
      </c>
      <c r="K76" s="93">
        <f t="shared" si="58"/>
        <v>-20712.5</v>
      </c>
      <c r="L76" s="93">
        <f t="shared" si="58"/>
        <v>-20712.5</v>
      </c>
      <c r="M76" s="93">
        <f t="shared" si="58"/>
        <v>-20712.5</v>
      </c>
    </row>
    <row r="77" spans="1:13" ht="15.6" x14ac:dyDescent="0.3">
      <c r="A77" s="102" t="s">
        <v>100</v>
      </c>
      <c r="B77" s="101"/>
      <c r="C77" s="128"/>
      <c r="D77" s="102" t="s">
        <v>50</v>
      </c>
      <c r="E77" s="102">
        <f>SUM(E75:E76)</f>
        <v>-39878</v>
      </c>
      <c r="F77" s="102">
        <f t="shared" ref="F77:G77" si="59">SUM(F75:F76)</f>
        <v>-23129</v>
      </c>
      <c r="G77" s="102">
        <f t="shared" si="59"/>
        <v>-19927</v>
      </c>
      <c r="H77" s="102">
        <f>SUM(H75:H76)</f>
        <v>-19580</v>
      </c>
      <c r="I77" s="102">
        <f>SUM(I75:I76)</f>
        <v>-25628.5</v>
      </c>
      <c r="J77" s="102">
        <f t="shared" ref="J77:L77" si="60">SUM(J75:J76)</f>
        <v>-25628.5</v>
      </c>
      <c r="K77" s="102">
        <f t="shared" si="60"/>
        <v>-25628.5</v>
      </c>
      <c r="L77" s="102">
        <f t="shared" si="60"/>
        <v>-25628.5</v>
      </c>
      <c r="M77" s="102">
        <f>SUM(M75:M76)</f>
        <v>-25628.5</v>
      </c>
    </row>
    <row r="78" spans="1:13" ht="15.6" x14ac:dyDescent="0.3">
      <c r="A78" s="99"/>
      <c r="B78" s="93"/>
      <c r="C78" s="94"/>
      <c r="D78" s="115"/>
      <c r="E78" s="115"/>
      <c r="F78" s="115"/>
      <c r="G78" s="115"/>
      <c r="H78" s="115"/>
      <c r="I78" s="99"/>
      <c r="J78" s="99"/>
      <c r="K78" s="99"/>
      <c r="L78" s="99"/>
      <c r="M78" s="99"/>
    </row>
    <row r="79" spans="1:13" ht="15.6" x14ac:dyDescent="0.3">
      <c r="A79" s="93" t="s">
        <v>101</v>
      </c>
      <c r="B79" s="93"/>
      <c r="C79" s="94"/>
      <c r="D79" s="93" t="s">
        <v>50</v>
      </c>
      <c r="E79" s="93">
        <f>E77+E72+E68</f>
        <v>22988</v>
      </c>
      <c r="F79" s="93">
        <f t="shared" ref="F79:M79" si="61">F77+F72+F68</f>
        <v>37644</v>
      </c>
      <c r="G79" s="93">
        <f t="shared" si="61"/>
        <v>44195</v>
      </c>
      <c r="H79" s="93">
        <f t="shared" si="61"/>
        <v>57204</v>
      </c>
      <c r="I79" s="93">
        <f>I77+I72+I68</f>
        <v>79513.076545686694</v>
      </c>
      <c r="J79" s="93">
        <f t="shared" si="61"/>
        <v>93726.762994738208</v>
      </c>
      <c r="K79" s="93">
        <f t="shared" si="61"/>
        <v>110191.25255438493</v>
      </c>
      <c r="L79" s="93">
        <f t="shared" si="61"/>
        <v>128486.42057131467</v>
      </c>
      <c r="M79" s="93">
        <f t="shared" si="61"/>
        <v>148874.07744229172</v>
      </c>
    </row>
    <row r="80" spans="1:13" ht="15.6" x14ac:dyDescent="0.3">
      <c r="A80" s="93" t="s">
        <v>102</v>
      </c>
      <c r="B80" s="93"/>
      <c r="C80" s="94"/>
      <c r="D80" s="98" t="s">
        <v>50</v>
      </c>
      <c r="E80" s="98">
        <v>14224</v>
      </c>
      <c r="F80" s="98">
        <f t="shared" ref="F80:L80" si="62">E81</f>
        <v>13931</v>
      </c>
      <c r="G80" s="98">
        <f t="shared" si="62"/>
        <v>34704</v>
      </c>
      <c r="H80" s="98">
        <f t="shared" si="62"/>
        <v>18315</v>
      </c>
      <c r="I80" s="98">
        <f t="shared" si="62"/>
        <v>30242</v>
      </c>
      <c r="J80" s="98">
        <f t="shared" si="62"/>
        <v>109755.07654568669</v>
      </c>
      <c r="K80" s="98">
        <f t="shared" si="62"/>
        <v>203481.8395404249</v>
      </c>
      <c r="L80" s="98">
        <f t="shared" si="62"/>
        <v>313673.09209480986</v>
      </c>
      <c r="M80" s="98">
        <f>L81</f>
        <v>442159.5126661245</v>
      </c>
    </row>
    <row r="81" spans="1:13" ht="15.6" x14ac:dyDescent="0.3">
      <c r="A81" s="102" t="s">
        <v>103</v>
      </c>
      <c r="B81" s="101"/>
      <c r="C81" s="128"/>
      <c r="D81" s="98" t="s">
        <v>50</v>
      </c>
      <c r="E81" s="98">
        <f>E43</f>
        <v>13931</v>
      </c>
      <c r="F81" s="98">
        <f t="shared" ref="F81:H81" si="63">F43</f>
        <v>34704</v>
      </c>
      <c r="G81" s="98">
        <f t="shared" si="63"/>
        <v>18315</v>
      </c>
      <c r="H81" s="98">
        <f t="shared" si="63"/>
        <v>30242</v>
      </c>
      <c r="I81" s="98">
        <f>SUM(I79:I80)</f>
        <v>109755.07654568669</v>
      </c>
      <c r="J81" s="98">
        <f>SUM(J79:J80)</f>
        <v>203481.8395404249</v>
      </c>
      <c r="K81" s="98">
        <f t="shared" ref="K81:L81" si="64">SUM(K79:K80)</f>
        <v>313673.09209480986</v>
      </c>
      <c r="L81" s="98">
        <f t="shared" si="64"/>
        <v>442159.5126661245</v>
      </c>
      <c r="M81" s="98">
        <f>SUM(M79:M80)</f>
        <v>591033.59010841628</v>
      </c>
    </row>
    <row r="82" spans="1:13" ht="15.6" x14ac:dyDescent="0.3">
      <c r="A82" s="99"/>
      <c r="B82" s="93"/>
      <c r="C82" s="94"/>
      <c r="D82" s="115"/>
      <c r="E82" s="115"/>
      <c r="F82" s="115"/>
      <c r="G82" s="115"/>
      <c r="H82" s="115"/>
      <c r="I82" s="93"/>
      <c r="J82" s="93"/>
      <c r="K82" s="93"/>
      <c r="L82" s="93"/>
      <c r="M82" s="93"/>
    </row>
    <row r="83" spans="1:13" ht="15.6" x14ac:dyDescent="0.3">
      <c r="A83" s="99"/>
      <c r="B83" s="93"/>
      <c r="C83" s="94"/>
      <c r="D83" s="115"/>
      <c r="E83" s="98"/>
      <c r="F83" s="98"/>
      <c r="G83" s="98"/>
      <c r="H83" s="98"/>
      <c r="I83" s="93"/>
      <c r="J83" s="93"/>
      <c r="K83" s="93"/>
      <c r="L83" s="93"/>
      <c r="M83" s="93"/>
    </row>
    <row r="84" spans="1:13" ht="15.6" x14ac:dyDescent="0.3">
      <c r="A84" s="93"/>
      <c r="B84" s="93"/>
      <c r="C84" s="94"/>
      <c r="D84" s="98"/>
      <c r="E84" s="98"/>
      <c r="F84" s="98"/>
      <c r="G84" s="98"/>
      <c r="H84" s="98"/>
      <c r="I84" s="93"/>
      <c r="J84" s="93"/>
      <c r="K84" s="93"/>
      <c r="L84" s="93"/>
      <c r="M84" s="93"/>
    </row>
    <row r="85" spans="1:13" ht="18" x14ac:dyDescent="0.3">
      <c r="A85" s="113" t="s">
        <v>104</v>
      </c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</row>
    <row r="86" spans="1:13" ht="15.6" x14ac:dyDescent="0.3">
      <c r="A86" s="93"/>
      <c r="B86" s="93"/>
      <c r="C86" s="94"/>
      <c r="D86" s="98"/>
      <c r="E86" s="98"/>
      <c r="F86" s="98"/>
      <c r="G86" s="98"/>
      <c r="H86" s="98"/>
      <c r="I86" s="93"/>
      <c r="J86" s="93"/>
      <c r="K86" s="93"/>
      <c r="L86" s="93"/>
      <c r="M86" s="93"/>
    </row>
    <row r="87" spans="1:13" ht="15.6" x14ac:dyDescent="0.3">
      <c r="A87" s="99" t="s">
        <v>105</v>
      </c>
      <c r="B87" s="93"/>
      <c r="C87" s="94"/>
      <c r="D87" s="98"/>
      <c r="E87" s="98"/>
      <c r="F87" s="98"/>
      <c r="G87" s="98"/>
      <c r="H87" s="98"/>
      <c r="I87" s="93"/>
      <c r="J87" s="93"/>
      <c r="K87" s="93"/>
      <c r="L87" s="93"/>
      <c r="M87" s="93"/>
    </row>
    <row r="88" spans="1:13" ht="15.6" x14ac:dyDescent="0.3">
      <c r="A88" s="93" t="s">
        <v>78</v>
      </c>
      <c r="B88" s="93"/>
      <c r="C88" s="94"/>
      <c r="D88" s="93" t="s">
        <v>50</v>
      </c>
      <c r="E88" s="93">
        <f>E44</f>
        <v>44261</v>
      </c>
      <c r="F88" s="93">
        <f t="shared" ref="F88:H89" si="65">F44</f>
        <v>48688</v>
      </c>
      <c r="G88" s="93">
        <f>G44</f>
        <v>56924</v>
      </c>
      <c r="H88" s="93">
        <f t="shared" si="65"/>
        <v>69905</v>
      </c>
      <c r="I88" s="93">
        <f>((I26/365)*I15)</f>
        <v>73950.288326663052</v>
      </c>
      <c r="J88" s="93">
        <f t="shared" ref="J88:M89" si="66">((J26/365)*J15)</f>
        <v>83190.166785240217</v>
      </c>
      <c r="K88" s="93">
        <f t="shared" si="66"/>
        <v>93584.541809836766</v>
      </c>
      <c r="L88" s="93">
        <f t="shared" si="66"/>
        <v>105277.66446684132</v>
      </c>
      <c r="M88" s="93">
        <f t="shared" si="66"/>
        <v>118431.80958361905</v>
      </c>
    </row>
    <row r="89" spans="1:13" ht="15.6" x14ac:dyDescent="0.3">
      <c r="A89" s="93" t="s">
        <v>79</v>
      </c>
      <c r="B89" s="93"/>
      <c r="C89" s="94"/>
      <c r="D89" s="93" t="s">
        <v>50</v>
      </c>
      <c r="E89" s="93">
        <f>E45</f>
        <v>3742</v>
      </c>
      <c r="F89" s="93">
        <f t="shared" si="65"/>
        <v>2500</v>
      </c>
      <c r="G89" s="93">
        <f t="shared" si="65"/>
        <v>1246</v>
      </c>
      <c r="H89" s="93">
        <f t="shared" si="65"/>
        <v>938</v>
      </c>
      <c r="I89" s="93">
        <f>((I27/365)*I16)</f>
        <v>3076.8063598296608</v>
      </c>
      <c r="J89" s="93">
        <f t="shared" si="66"/>
        <v>3461.2445743207459</v>
      </c>
      <c r="K89" s="93">
        <f t="shared" si="66"/>
        <v>3893.7172516531236</v>
      </c>
      <c r="L89" s="93">
        <f t="shared" si="66"/>
        <v>4380.2261615090993</v>
      </c>
      <c r="M89" s="93">
        <f t="shared" si="66"/>
        <v>4927.5229776437754</v>
      </c>
    </row>
    <row r="90" spans="1:13" ht="15.6" x14ac:dyDescent="0.3">
      <c r="A90" s="93" t="s">
        <v>83</v>
      </c>
      <c r="B90" s="93"/>
      <c r="C90" s="94"/>
      <c r="D90" s="93" t="s">
        <v>50</v>
      </c>
      <c r="E90" s="93">
        <f>E50</f>
        <v>19000</v>
      </c>
      <c r="F90" s="93">
        <f t="shared" ref="F90:G90" si="67">F50</f>
        <v>18095</v>
      </c>
      <c r="G90" s="93">
        <f t="shared" si="67"/>
        <v>21996</v>
      </c>
      <c r="H90" s="93">
        <f>H50</f>
        <v>27724</v>
      </c>
      <c r="I90" s="93">
        <f>((I27/365)*I17)</f>
        <v>29260.580898758999</v>
      </c>
      <c r="J90" s="93">
        <f>((J27/365)*J17)</f>
        <v>32916.607362612784</v>
      </c>
      <c r="K90" s="93">
        <f t="shared" ref="K90:M90" si="68">((K27/365)*K17)</f>
        <v>37029.443947586406</v>
      </c>
      <c r="L90" s="93">
        <f>((L27/365)*L17)</f>
        <v>41656.167780670243</v>
      </c>
      <c r="M90" s="93">
        <f t="shared" si="68"/>
        <v>46860.987613735233</v>
      </c>
    </row>
    <row r="91" spans="1:13" ht="15.6" x14ac:dyDescent="0.3">
      <c r="A91" s="101" t="s">
        <v>106</v>
      </c>
      <c r="B91" s="101"/>
      <c r="C91" s="128"/>
      <c r="D91" s="101" t="s">
        <v>50</v>
      </c>
      <c r="E91" s="101">
        <f>((E88+E89)-E90)</f>
        <v>29003</v>
      </c>
      <c r="F91" s="101">
        <f t="shared" ref="F91" si="69">((F88+F89)-F90)</f>
        <v>33093</v>
      </c>
      <c r="G91" s="101">
        <f>((G88+G89)-G90)</f>
        <v>36174</v>
      </c>
      <c r="H91" s="101">
        <f>((H88+H89)-H90)</f>
        <v>43119</v>
      </c>
      <c r="I91" s="101">
        <f>((I88+I89)-I90)</f>
        <v>47766.513787733711</v>
      </c>
      <c r="J91" s="101">
        <f t="shared" ref="J91:M91" si="70">((J88+J89)-J90)</f>
        <v>53734.803996948183</v>
      </c>
      <c r="K91" s="101">
        <f t="shared" si="70"/>
        <v>60448.815113903489</v>
      </c>
      <c r="L91" s="101">
        <f t="shared" si="70"/>
        <v>68001.722847680183</v>
      </c>
      <c r="M91" s="101">
        <f t="shared" si="70"/>
        <v>76498.344947527599</v>
      </c>
    </row>
    <row r="92" spans="1:13" ht="15.6" x14ac:dyDescent="0.3">
      <c r="A92" s="93" t="s">
        <v>107</v>
      </c>
      <c r="B92" s="93"/>
      <c r="C92" s="94"/>
      <c r="D92" s="93" t="s">
        <v>50</v>
      </c>
      <c r="E92" s="93">
        <v>0</v>
      </c>
      <c r="F92" s="93">
        <f>(F91-E91)</f>
        <v>4090</v>
      </c>
      <c r="G92" s="93">
        <f t="shared" ref="G92:M92" si="71">(G91-F91)</f>
        <v>3081</v>
      </c>
      <c r="H92" s="93">
        <f t="shared" si="71"/>
        <v>6945</v>
      </c>
      <c r="I92" s="93">
        <f t="shared" si="71"/>
        <v>4647.5137877337111</v>
      </c>
      <c r="J92" s="93">
        <f>(J91-I91)</f>
        <v>5968.2902092144723</v>
      </c>
      <c r="K92" s="93">
        <f t="shared" si="71"/>
        <v>6714.0111169553056</v>
      </c>
      <c r="L92" s="93">
        <f t="shared" si="71"/>
        <v>7552.9077337766939</v>
      </c>
      <c r="M92" s="93">
        <f t="shared" si="71"/>
        <v>8496.6220998474164</v>
      </c>
    </row>
    <row r="93" spans="1:13" ht="15.6" x14ac:dyDescent="0.3">
      <c r="A93" s="93"/>
      <c r="B93" s="93"/>
      <c r="C93" s="94"/>
      <c r="D93" s="98"/>
      <c r="E93" s="98"/>
      <c r="F93" s="98"/>
      <c r="G93" s="98"/>
      <c r="H93" s="98"/>
      <c r="I93" s="98"/>
      <c r="J93" s="98"/>
      <c r="K93" s="98"/>
      <c r="L93" s="98"/>
      <c r="M93" s="98"/>
    </row>
    <row r="94" spans="1:13" ht="15.6" x14ac:dyDescent="0.3">
      <c r="A94" s="99" t="s">
        <v>108</v>
      </c>
      <c r="B94" s="93"/>
      <c r="C94" s="94"/>
      <c r="D94" s="98"/>
      <c r="E94" s="98"/>
      <c r="F94" s="98"/>
      <c r="G94" s="98"/>
      <c r="H94" s="98"/>
      <c r="I94" s="98"/>
      <c r="J94" s="98"/>
      <c r="K94" s="98"/>
      <c r="L94" s="98"/>
      <c r="M94" s="98"/>
    </row>
    <row r="95" spans="1:13" ht="15.6" x14ac:dyDescent="0.3">
      <c r="A95" s="93" t="s">
        <v>109</v>
      </c>
      <c r="B95" s="93"/>
      <c r="C95" s="94"/>
      <c r="D95" s="98" t="s">
        <v>50</v>
      </c>
      <c r="E95" s="98">
        <v>70803</v>
      </c>
      <c r="F95" s="98">
        <f>E98</f>
        <v>87546</v>
      </c>
      <c r="G95" s="98">
        <f>F98</f>
        <v>109987</v>
      </c>
      <c r="H95" s="98">
        <f t="shared" ref="H95" si="72">G98</f>
        <v>154552</v>
      </c>
      <c r="I95" s="93">
        <f>H98</f>
        <v>229789</v>
      </c>
      <c r="J95" s="93">
        <f>I98</f>
        <v>236493.57146400027</v>
      </c>
      <c r="K95" s="93">
        <f t="shared" ref="K95:M95" si="73">J98</f>
        <v>242219.23217983457</v>
      </c>
      <c r="L95" s="93">
        <f t="shared" si="73"/>
        <v>247108.90944092054</v>
      </c>
      <c r="M95" s="93">
        <f t="shared" si="73"/>
        <v>251284.66223246499</v>
      </c>
    </row>
    <row r="96" spans="1:13" ht="15.6" x14ac:dyDescent="0.3">
      <c r="A96" s="93" t="s">
        <v>110</v>
      </c>
      <c r="B96" s="93"/>
      <c r="C96" s="94"/>
      <c r="D96" s="98" t="s">
        <v>50</v>
      </c>
      <c r="E96" s="98">
        <f>E71*-1</f>
        <v>23886</v>
      </c>
      <c r="F96" s="98">
        <f t="shared" ref="F96:M96" si="74">F71*-1</f>
        <v>28107</v>
      </c>
      <c r="G96" s="98">
        <f>G71*-1</f>
        <v>44477</v>
      </c>
      <c r="H96" s="98">
        <f t="shared" si="74"/>
        <v>64551</v>
      </c>
      <c r="I96" s="98">
        <f>I71*-1</f>
        <v>40255.25</v>
      </c>
      <c r="J96" s="98">
        <f>J71*-1</f>
        <v>40255.25</v>
      </c>
      <c r="K96" s="98">
        <f>K71*-1</f>
        <v>40255.25</v>
      </c>
      <c r="L96" s="98">
        <f t="shared" si="74"/>
        <v>40255.25</v>
      </c>
      <c r="M96" s="98">
        <f t="shared" si="74"/>
        <v>40255.25</v>
      </c>
    </row>
    <row r="97" spans="1:13" ht="15.6" x14ac:dyDescent="0.3">
      <c r="A97" s="93" t="s">
        <v>111</v>
      </c>
      <c r="B97" s="93"/>
      <c r="C97" s="121"/>
      <c r="D97" s="98" t="s">
        <v>50</v>
      </c>
      <c r="E97" s="98">
        <f>E66</f>
        <v>14460</v>
      </c>
      <c r="F97" s="98">
        <f t="shared" ref="F97:H97" si="75">F66</f>
        <v>13861</v>
      </c>
      <c r="G97" s="98">
        <f t="shared" si="75"/>
        <v>22287</v>
      </c>
      <c r="H97" s="98">
        <f t="shared" si="75"/>
        <v>34153</v>
      </c>
      <c r="I97" s="93">
        <f>I95*I12</f>
        <v>33550.678535999738</v>
      </c>
      <c r="J97" s="93">
        <f t="shared" ref="J97:M97" si="76">J95*J12</f>
        <v>34529.589284165711</v>
      </c>
      <c r="K97" s="93">
        <f t="shared" si="76"/>
        <v>35365.572738914016</v>
      </c>
      <c r="L97" s="93">
        <f t="shared" si="76"/>
        <v>36079.49720845557</v>
      </c>
      <c r="M97" s="93">
        <f t="shared" si="76"/>
        <v>36689.184093184216</v>
      </c>
    </row>
    <row r="98" spans="1:13" ht="15.6" x14ac:dyDescent="0.3">
      <c r="A98" s="101" t="s">
        <v>112</v>
      </c>
      <c r="B98" s="101"/>
      <c r="C98" s="128"/>
      <c r="D98" s="98" t="s">
        <v>50</v>
      </c>
      <c r="E98" s="98">
        <f>E46</f>
        <v>87546</v>
      </c>
      <c r="F98" s="98">
        <f t="shared" ref="F98:H98" si="77">F46</f>
        <v>109987</v>
      </c>
      <c r="G98" s="98">
        <f t="shared" si="77"/>
        <v>154552</v>
      </c>
      <c r="H98" s="98">
        <f t="shared" si="77"/>
        <v>229789</v>
      </c>
      <c r="I98" s="98">
        <f>((I95+I96)-I97)</f>
        <v>236493.57146400027</v>
      </c>
      <c r="J98" s="98">
        <f t="shared" ref="J98:M98" si="78">((J95+J96)-J97)</f>
        <v>242219.23217983457</v>
      </c>
      <c r="K98" s="98">
        <f t="shared" si="78"/>
        <v>247108.90944092054</v>
      </c>
      <c r="L98" s="98">
        <f>((L95+L96)-L97)</f>
        <v>251284.66223246499</v>
      </c>
      <c r="M98" s="98">
        <f t="shared" si="78"/>
        <v>254850.72813928078</v>
      </c>
    </row>
    <row r="99" spans="1:13" ht="15.6" x14ac:dyDescent="0.3">
      <c r="A99" s="93"/>
      <c r="B99" s="93"/>
      <c r="C99" s="94"/>
      <c r="D99" s="98"/>
      <c r="E99" s="98"/>
      <c r="F99" s="98"/>
      <c r="G99" s="98"/>
      <c r="H99" s="98"/>
      <c r="I99" s="98"/>
      <c r="J99" s="98"/>
      <c r="K99" s="98"/>
      <c r="L99" s="98"/>
      <c r="M99" s="98"/>
    </row>
    <row r="100" spans="1:13" ht="15.6" x14ac:dyDescent="0.3">
      <c r="A100" s="99" t="s">
        <v>113</v>
      </c>
      <c r="B100" s="93"/>
      <c r="C100" s="94"/>
      <c r="D100" s="98" t="s">
        <v>50</v>
      </c>
      <c r="E100" s="98"/>
      <c r="F100" s="98"/>
      <c r="G100" s="98"/>
      <c r="H100" s="98"/>
      <c r="I100" s="98"/>
      <c r="J100" s="98"/>
      <c r="K100" s="98"/>
      <c r="L100" s="98"/>
      <c r="M100" s="98"/>
    </row>
    <row r="101" spans="1:13" ht="15.6" x14ac:dyDescent="0.3">
      <c r="A101" s="93" t="s">
        <v>114</v>
      </c>
      <c r="B101" s="93"/>
      <c r="C101" s="94"/>
      <c r="D101" s="98" t="s">
        <v>50</v>
      </c>
      <c r="E101" s="98">
        <v>58146</v>
      </c>
      <c r="F101" s="98">
        <f>E103</f>
        <v>61270</v>
      </c>
      <c r="G101" s="98">
        <f t="shared" ref="G101:H101" si="79">F103</f>
        <v>59965</v>
      </c>
      <c r="H101" s="98">
        <f t="shared" si="79"/>
        <v>67127</v>
      </c>
      <c r="I101" s="93">
        <f>H103</f>
        <v>60588</v>
      </c>
      <c r="J101" s="93">
        <f>I103</f>
        <v>55672</v>
      </c>
      <c r="K101" s="93">
        <f t="shared" ref="K101:M101" si="80">J103</f>
        <v>50756</v>
      </c>
      <c r="L101" s="93">
        <f t="shared" si="80"/>
        <v>45840</v>
      </c>
      <c r="M101" s="93">
        <f t="shared" si="80"/>
        <v>40924</v>
      </c>
    </row>
    <row r="102" spans="1:13" ht="15.6" x14ac:dyDescent="0.3">
      <c r="A102" s="93" t="s">
        <v>115</v>
      </c>
      <c r="B102" s="93"/>
      <c r="C102" s="94"/>
      <c r="D102" s="93" t="s">
        <v>50</v>
      </c>
      <c r="E102" s="93">
        <f>E75</f>
        <v>-9023</v>
      </c>
      <c r="F102" s="93">
        <f t="shared" ref="F102:G102" si="81">F75</f>
        <v>-2750</v>
      </c>
      <c r="G102" s="93">
        <f t="shared" si="81"/>
        <v>-4675</v>
      </c>
      <c r="H102" s="93">
        <f>H75</f>
        <v>-3216</v>
      </c>
      <c r="I102" s="93">
        <f>I19</f>
        <v>-4916</v>
      </c>
      <c r="J102" s="93">
        <f t="shared" ref="J102:M102" si="82">J19</f>
        <v>-4916</v>
      </c>
      <c r="K102" s="93">
        <f t="shared" si="82"/>
        <v>-4916</v>
      </c>
      <c r="L102" s="93">
        <f t="shared" si="82"/>
        <v>-4916</v>
      </c>
      <c r="M102" s="93">
        <f t="shared" si="82"/>
        <v>-4916</v>
      </c>
    </row>
    <row r="103" spans="1:13" ht="15.6" x14ac:dyDescent="0.3">
      <c r="A103" s="101" t="s">
        <v>116</v>
      </c>
      <c r="B103" s="101"/>
      <c r="C103" s="128"/>
      <c r="D103" s="101" t="s">
        <v>50</v>
      </c>
      <c r="E103" s="101">
        <f>E51</f>
        <v>61270</v>
      </c>
      <c r="F103" s="101">
        <f t="shared" ref="F103:H103" si="83">F51</f>
        <v>59965</v>
      </c>
      <c r="G103" s="101">
        <f t="shared" si="83"/>
        <v>67127</v>
      </c>
      <c r="H103" s="101">
        <f t="shared" si="83"/>
        <v>60588</v>
      </c>
      <c r="I103" s="101">
        <f>SUM(I101:I102)</f>
        <v>55672</v>
      </c>
      <c r="J103" s="101">
        <f t="shared" ref="J103:M103" si="84">SUM(J101:J102)</f>
        <v>50756</v>
      </c>
      <c r="K103" s="101">
        <f t="shared" si="84"/>
        <v>45840</v>
      </c>
      <c r="L103" s="101">
        <f t="shared" si="84"/>
        <v>40924</v>
      </c>
      <c r="M103" s="101">
        <f t="shared" si="84"/>
        <v>36008</v>
      </c>
    </row>
    <row r="104" spans="1:13" ht="15.6" x14ac:dyDescent="0.3">
      <c r="A104" s="93" t="s">
        <v>117</v>
      </c>
      <c r="B104" s="93"/>
      <c r="C104" s="121"/>
      <c r="D104" s="93" t="s">
        <v>50</v>
      </c>
      <c r="E104" s="93" t="s">
        <v>50</v>
      </c>
      <c r="F104" s="93" t="s">
        <v>50</v>
      </c>
      <c r="G104" s="93" t="s">
        <v>50</v>
      </c>
      <c r="H104" s="93" t="s">
        <v>50</v>
      </c>
      <c r="I104" s="93" t="s">
        <v>50</v>
      </c>
      <c r="J104" s="93" t="s">
        <v>50</v>
      </c>
      <c r="K104" s="93" t="s">
        <v>50</v>
      </c>
      <c r="L104" s="93" t="s">
        <v>50</v>
      </c>
      <c r="M104" s="93" t="s">
        <v>50</v>
      </c>
    </row>
    <row r="105" spans="1:13" ht="15.6" x14ac:dyDescent="0.3">
      <c r="A105" s="93"/>
      <c r="B105" s="93"/>
      <c r="C105" s="94"/>
      <c r="D105" s="98"/>
      <c r="E105" s="98" t="s">
        <v>44</v>
      </c>
      <c r="F105" s="98"/>
      <c r="G105" s="98"/>
      <c r="H105" s="98"/>
      <c r="I105" s="93"/>
      <c r="J105" s="93"/>
      <c r="K105" s="93"/>
      <c r="L105" s="93"/>
      <c r="M105" s="93"/>
    </row>
    <row r="106" spans="1:13" ht="15.6" x14ac:dyDescent="0.3">
      <c r="A106" s="93"/>
      <c r="B106" s="93"/>
      <c r="C106" s="94"/>
      <c r="D106" s="98"/>
      <c r="E106" s="115"/>
      <c r="F106" s="98"/>
      <c r="G106" s="98"/>
      <c r="H106" s="98"/>
      <c r="I106" s="93"/>
      <c r="J106" s="93"/>
      <c r="K106" s="93"/>
      <c r="L106" s="93"/>
      <c r="M106" s="93"/>
    </row>
    <row r="107" spans="1:13" ht="15.6" x14ac:dyDescent="0.3">
      <c r="A107" s="93"/>
      <c r="B107" s="93"/>
      <c r="C107" s="94"/>
      <c r="D107" s="98"/>
      <c r="E107" s="98"/>
      <c r="F107" s="98"/>
      <c r="G107" s="98"/>
      <c r="H107" s="98"/>
      <c r="I107" s="93"/>
      <c r="J107" s="93"/>
      <c r="K107" s="93"/>
      <c r="L107" s="93"/>
      <c r="M107" s="93"/>
    </row>
    <row r="108" spans="1:13" ht="18" x14ac:dyDescent="0.3">
      <c r="A108" s="129" t="s">
        <v>118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</row>
    <row r="109" spans="1:13" ht="15.6" x14ac:dyDescent="0.3">
      <c r="A109" s="93"/>
      <c r="B109" s="93"/>
      <c r="C109" s="94"/>
      <c r="D109" s="93"/>
      <c r="E109" s="93"/>
      <c r="F109" s="93"/>
      <c r="G109" s="93"/>
      <c r="H109" s="93"/>
      <c r="I109" s="93"/>
      <c r="J109" s="93"/>
      <c r="K109" s="93"/>
      <c r="L109" s="93"/>
      <c r="M109" s="93"/>
    </row>
    <row r="110" spans="1:13" ht="15.6" x14ac:dyDescent="0.3">
      <c r="A110" s="93" t="s">
        <v>65</v>
      </c>
      <c r="B110" s="93"/>
      <c r="C110" s="94"/>
      <c r="D110" s="93" t="s">
        <v>50</v>
      </c>
      <c r="E110" s="93">
        <f>E26</f>
        <v>198270</v>
      </c>
      <c r="F110" s="93">
        <f>F26</f>
        <v>211915</v>
      </c>
      <c r="G110" s="93">
        <f t="shared" ref="G110:M110" si="85">G26</f>
        <v>245122</v>
      </c>
      <c r="H110" s="93">
        <f t="shared" si="85"/>
        <v>281724</v>
      </c>
      <c r="I110" s="93">
        <f t="shared" si="85"/>
        <v>316924.61351708934</v>
      </c>
      <c r="J110" s="93">
        <f t="shared" si="85"/>
        <v>356523.44370006263</v>
      </c>
      <c r="K110" s="93">
        <f t="shared" si="85"/>
        <v>401070.03522747121</v>
      </c>
      <c r="L110" s="93">
        <f t="shared" si="85"/>
        <v>451182.59682438028</v>
      </c>
      <c r="M110" s="93">
        <f t="shared" si="85"/>
        <v>507556.58063992934</v>
      </c>
    </row>
    <row r="111" spans="1:13" ht="15.6" x14ac:dyDescent="0.3">
      <c r="A111" s="93" t="s">
        <v>119</v>
      </c>
      <c r="B111" s="93"/>
      <c r="C111" s="94"/>
      <c r="D111" s="107" t="s">
        <v>50</v>
      </c>
      <c r="E111" s="107">
        <f>E28/E26</f>
        <v>0.68401674484289099</v>
      </c>
      <c r="F111" s="107">
        <f t="shared" ref="F111:M111" si="86">F28/F26</f>
        <v>0.68920085883491022</v>
      </c>
      <c r="G111" s="107">
        <f t="shared" si="86"/>
        <v>0.69764443827971379</v>
      </c>
      <c r="H111" s="107">
        <f t="shared" si="86"/>
        <v>0.68823742386165188</v>
      </c>
      <c r="I111" s="107">
        <f t="shared" si="86"/>
        <v>0.68977486645479169</v>
      </c>
      <c r="J111" s="107">
        <f t="shared" si="86"/>
        <v>0.68977486645479169</v>
      </c>
      <c r="K111" s="107">
        <f t="shared" si="86"/>
        <v>0.68977486645479169</v>
      </c>
      <c r="L111" s="107">
        <f>L28/L26</f>
        <v>0.68977486645479158</v>
      </c>
      <c r="M111" s="107">
        <f t="shared" si="86"/>
        <v>0.68977486645479169</v>
      </c>
    </row>
    <row r="112" spans="1:13" ht="15.6" x14ac:dyDescent="0.3">
      <c r="A112" s="93"/>
      <c r="B112" s="93"/>
      <c r="C112" s="94"/>
      <c r="D112" s="93"/>
      <c r="E112" s="93"/>
      <c r="F112" s="93"/>
      <c r="G112" s="93"/>
      <c r="H112" s="93"/>
      <c r="I112" s="93"/>
      <c r="J112" s="93"/>
      <c r="K112" s="93"/>
      <c r="L112" s="93"/>
      <c r="M112" s="93"/>
    </row>
    <row r="113" spans="1:13" ht="15.6" x14ac:dyDescent="0.3">
      <c r="A113" s="93" t="s">
        <v>90</v>
      </c>
      <c r="B113" s="93"/>
      <c r="C113" s="94"/>
      <c r="D113" s="93" t="s">
        <v>50</v>
      </c>
      <c r="E113" s="93">
        <f>E68</f>
        <v>86752</v>
      </c>
      <c r="F113" s="93">
        <f t="shared" ref="F113:M113" si="87">F68</f>
        <v>88880</v>
      </c>
      <c r="G113" s="93">
        <f t="shared" si="87"/>
        <v>108599</v>
      </c>
      <c r="H113" s="93">
        <f t="shared" si="87"/>
        <v>141335</v>
      </c>
      <c r="I113" s="93">
        <f t="shared" si="87"/>
        <v>145396.82654568669</v>
      </c>
      <c r="J113" s="93">
        <f t="shared" si="87"/>
        <v>159610.51299473821</v>
      </c>
      <c r="K113" s="93">
        <f t="shared" si="87"/>
        <v>176075.00255438493</v>
      </c>
      <c r="L113" s="93">
        <f t="shared" si="87"/>
        <v>194370.17057131467</v>
      </c>
      <c r="M113" s="93">
        <f t="shared" si="87"/>
        <v>214757.82744229172</v>
      </c>
    </row>
    <row r="114" spans="1:13" ht="15.6" x14ac:dyDescent="0.3">
      <c r="A114" s="93" t="s">
        <v>94</v>
      </c>
      <c r="B114" s="93"/>
      <c r="C114" s="94"/>
      <c r="D114" s="93" t="s">
        <v>50</v>
      </c>
      <c r="E114" s="93">
        <f>E72</f>
        <v>-23886</v>
      </c>
      <c r="F114" s="93">
        <f t="shared" ref="F114:M114" si="88">F72</f>
        <v>-28107</v>
      </c>
      <c r="G114" s="93">
        <f t="shared" si="88"/>
        <v>-44477</v>
      </c>
      <c r="H114" s="93">
        <f t="shared" si="88"/>
        <v>-64551</v>
      </c>
      <c r="I114" s="93">
        <f t="shared" si="88"/>
        <v>-40255.25</v>
      </c>
      <c r="J114" s="93">
        <f t="shared" si="88"/>
        <v>-40255.25</v>
      </c>
      <c r="K114" s="93">
        <f t="shared" si="88"/>
        <v>-40255.25</v>
      </c>
      <c r="L114" s="93">
        <f t="shared" si="88"/>
        <v>-40255.25</v>
      </c>
      <c r="M114" s="93">
        <f t="shared" si="88"/>
        <v>-40255.25</v>
      </c>
    </row>
    <row r="115" spans="1:13" ht="15.6" x14ac:dyDescent="0.3">
      <c r="A115" s="93" t="s">
        <v>97</v>
      </c>
      <c r="B115" s="93"/>
      <c r="C115" s="94"/>
      <c r="D115" s="93" t="s">
        <v>50</v>
      </c>
      <c r="E115" s="93">
        <f>E77</f>
        <v>-39878</v>
      </c>
      <c r="F115" s="93">
        <f t="shared" ref="F115:M115" si="89">F77</f>
        <v>-23129</v>
      </c>
      <c r="G115" s="93">
        <f t="shared" si="89"/>
        <v>-19927</v>
      </c>
      <c r="H115" s="93">
        <f t="shared" si="89"/>
        <v>-19580</v>
      </c>
      <c r="I115" s="93">
        <f t="shared" si="89"/>
        <v>-25628.5</v>
      </c>
      <c r="J115" s="93">
        <f t="shared" si="89"/>
        <v>-25628.5</v>
      </c>
      <c r="K115" s="93">
        <f t="shared" si="89"/>
        <v>-25628.5</v>
      </c>
      <c r="L115" s="93">
        <f t="shared" si="89"/>
        <v>-25628.5</v>
      </c>
      <c r="M115" s="93">
        <f t="shared" si="89"/>
        <v>-25628.5</v>
      </c>
    </row>
  </sheetData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DCF Model</vt:lpstr>
      <vt:lpstr> 3-Statement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hilal berhe</cp:lastModifiedBy>
  <cp:lastPrinted>2014-12-13T23:43:21Z</cp:lastPrinted>
  <dcterms:created xsi:type="dcterms:W3CDTF">2014-11-08T22:00:02Z</dcterms:created>
  <dcterms:modified xsi:type="dcterms:W3CDTF">2026-06-18T14:56:07Z</dcterms:modified>
</cp:coreProperties>
</file>